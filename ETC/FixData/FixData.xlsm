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534C58BC-1182-4B74-A3C3-09F6CF71EE9A}" xr6:coauthVersionLast="47" xr6:coauthVersionMax="47" xr10:uidLastSave="{00000000-0000-0000-0000-000000000000}"/>
  <bookViews>
    <workbookView xWindow="-120" yWindow="-120" windowWidth="19725" windowHeight="11760" activeTab="1" xr2:uid="{00000000-000D-0000-FFFF-FFFF00000000}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<sst xmlns="http://schemas.openxmlformats.org/spreadsheetml/2006/main" count="640" uniqueCount="354">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</sst>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opLeftCell="A194" workbookViewId="0">
      <selection activeCell="C209" sqref="C209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2" t="s">
        <v>334</v>
      </c>
      <c r="L1" t="s">
        <v>333</v>
      </c>
      <c r="M1" s="2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鈴木　陽一スキル１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ジョー＆ミョーの仲良しチャンネルスキル１</v>
      </c>
      <c r="L7">
        <v>10</v>
      </c>
      <c r="M7" s="3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さけっぷりんスキル１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澄水神スキル１</v>
      </c>
      <c r="L12">
        <v>20</v>
      </c>
      <c r="M12" s="3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春日山の兵スキル１</v>
      </c>
      <c r="L13">
        <v>22</v>
      </c>
      <c r="M13" s="3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リリアンスキル１</v>
      </c>
      <c r="L14">
        <v>24</v>
      </c>
      <c r="M14" s="3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小嶋　波奈スキル１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フィオラスキル１</v>
      </c>
      <c r="L16">
        <v>28</v>
      </c>
      <c r="M16" s="3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3" t="str">
        <f>VLOOKUP(J20,[1]SkillName!$A:$B,2,FALSE)</f>
        <v>無効</v>
      </c>
      <c r="L20">
        <v>0</v>
      </c>
      <c r="M20" s="3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ハクロスキル１</v>
      </c>
      <c r="L203">
        <v>30</v>
      </c>
      <c r="M203" s="3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ブックハンドスキル１</v>
      </c>
      <c r="L204">
        <v>32</v>
      </c>
      <c r="M204" s="3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オステオンスキル１</v>
      </c>
      <c r="L205">
        <v>34</v>
      </c>
      <c r="M205" s="3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ターボ・タロスキル１</v>
      </c>
      <c r="L206">
        <v>36</v>
      </c>
      <c r="M206" s="3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337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>
        <f>VLOOKUP(J207,[1]SkillName!$A:$B,2,FALSE)</f>
        <v>0</v>
      </c>
      <c r="L207">
        <v>38</v>
      </c>
      <c r="M207" s="3">
        <f>VLOOKUP(L207,[1]SkillName!$A:$B,2,FALSE)</f>
        <v>0</v>
      </c>
    </row>
    <row r="208" spans="1:13">
      <c r="A208" s="1">
        <f>VLOOKUP(B208,[1]CharaName!$A:$B,2,FALSE)</f>
        <v>0</v>
      </c>
      <c r="B208">
        <v>206</v>
      </c>
      <c r="C208" t="s">
        <v>338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>
        <f>VLOOKUP(J208,[1]SkillName!$A:$B,2,FALSE)</f>
        <v>0</v>
      </c>
      <c r="L208">
        <v>40</v>
      </c>
      <c r="M208" s="3">
        <f>VLOOKUP(L208,[1]SkillName!$A:$B,2,FALSE)</f>
        <v>0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3" t="str">
        <f>VLOOKUP(J212,[1]SkillName!$A:$B,2,FALSE)</f>
        <v>無効</v>
      </c>
      <c r="L212">
        <v>0</v>
      </c>
      <c r="M212" s="3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3" t="str">
        <f>VLOOKUP(J220,[1]SkillName!$A:$B,2,FALSE)</f>
        <v>無効</v>
      </c>
      <c r="L220">
        <v>0</v>
      </c>
      <c r="M220" s="3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3" t="str">
        <f>VLOOKUP(J221,[1]SkillName!$A:$B,2,FALSE)</f>
        <v>無効</v>
      </c>
      <c r="L221">
        <v>0</v>
      </c>
      <c r="M221" s="3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3" t="str">
        <f>VLOOKUP(J224,[1]SkillName!$A:$B,2,FALSE)</f>
        <v>無効</v>
      </c>
      <c r="L224">
        <v>0</v>
      </c>
      <c r="M224" s="3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3" t="str">
        <f>VLOOKUP(J225,[1]SkillName!$A:$B,2,FALSE)</f>
        <v>無効</v>
      </c>
      <c r="L225">
        <v>0</v>
      </c>
      <c r="M225" s="3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3" t="str">
        <f>VLOOKUP(J226,[1]SkillName!$A:$B,2,FALSE)</f>
        <v>無効</v>
      </c>
      <c r="L226">
        <v>0</v>
      </c>
      <c r="M226" s="3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3" t="str">
        <f>VLOOKUP(J227,[1]SkillName!$A:$B,2,FALSE)</f>
        <v>無効</v>
      </c>
      <c r="L227">
        <v>0</v>
      </c>
      <c r="M227" s="3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tabSelected="1" workbookViewId="0">
      <selection activeCell="C24" sqref="C24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t="s">
        <v>325</v>
      </c>
      <c r="E1" s="2" t="s">
        <v>327</v>
      </c>
      <c r="F1" t="s">
        <v>312</v>
      </c>
      <c r="G1" s="2" t="s">
        <v>326</v>
      </c>
      <c r="H1" t="s">
        <v>320</v>
      </c>
      <c r="I1" s="2" t="s">
        <v>329</v>
      </c>
      <c r="J1" t="s">
        <v>328</v>
      </c>
      <c r="K1" t="s">
        <v>322</v>
      </c>
      <c r="L1" s="2" t="s">
        <v>330</v>
      </c>
    </row>
    <row r="2" spans="1:12">
      <c r="A2" s="1" t="str">
        <f>VLOOKUP(B2,[1]SkillName!$A:$B,2,FALSE)</f>
        <v>無効</v>
      </c>
      <c r="B2">
        <v>0</v>
      </c>
      <c r="C2" t="s">
        <v>342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342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342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342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342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鈴木　陽一スキル１</v>
      </c>
      <c r="B7">
        <v>5</v>
      </c>
      <c r="C7" t="s">
        <v>342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342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339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342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340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342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341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342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343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342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344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342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345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342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澄水神スキル１</v>
      </c>
      <c r="B21">
        <v>19</v>
      </c>
      <c r="C21" t="s">
        <v>342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澄水神スキル２</v>
      </c>
      <c r="B22">
        <v>20</v>
      </c>
      <c r="C22" t="s">
        <v>342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346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347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リリアンスキル１</v>
      </c>
      <c r="B25">
        <v>23</v>
      </c>
      <c r="C25" t="s">
        <v>348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リリアンスキル２</v>
      </c>
      <c r="B26">
        <v>24</v>
      </c>
      <c r="C26" t="s">
        <v>349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350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351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フィオラスキル１</v>
      </c>
      <c r="B29">
        <v>27</v>
      </c>
      <c r="C29" t="s">
        <v>352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フィオラスキル２</v>
      </c>
      <c r="B30">
        <v>28</v>
      </c>
      <c r="C30" t="s">
        <v>353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ハクロスキル１</v>
      </c>
      <c r="B31">
        <v>29</v>
      </c>
      <c r="C31" t="s">
        <v>335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ハクロスキル２</v>
      </c>
      <c r="B32">
        <v>30</v>
      </c>
      <c r="C32" t="s">
        <v>336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335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336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335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336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335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336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>
        <f>VLOOKUP(B39,[1]SkillName!$A:$B,2,FALSE)</f>
        <v>0</v>
      </c>
      <c r="B39">
        <v>37</v>
      </c>
      <c r="C39" t="s">
        <v>335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>
        <f>VLOOKUP(B40,[1]SkillName!$A:$B,2,FALSE)</f>
        <v>0</v>
      </c>
      <c r="B40">
        <v>38</v>
      </c>
      <c r="C40" t="s">
        <v>336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>
        <f>VLOOKUP(B41,[1]SkillName!$A:$B,2,FALSE)</f>
        <v>0</v>
      </c>
      <c r="B41">
        <v>39</v>
      </c>
      <c r="C41" t="s">
        <v>335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>
        <f>VLOOKUP(B42,[1]SkillName!$A:$B,2,FALSE)</f>
        <v>0</v>
      </c>
      <c r="B42">
        <v>40</v>
      </c>
      <c r="C42" t="s">
        <v>336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>
        <f>VLOOKUP(B43,[1]SkillName!$A:$B,2,FALSE)</f>
        <v>0</v>
      </c>
      <c r="B43">
        <v>41</v>
      </c>
      <c r="C43" t="s">
        <v>44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石川 侑士(jjc.22170006)</cp:lastModifiedBy>
  <dcterms:created xsi:type="dcterms:W3CDTF">2015-06-05T18:19:34Z</dcterms:created>
  <dcterms:modified xsi:type="dcterms:W3CDTF">2023-11-20T05:09:13Z</dcterms:modified>
</cp:coreProperties>
</file>