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JJC_SocialGame_2023\ETC\FixData\"/>
    </mc:Choice>
  </mc:AlternateContent>
  <bookViews>
    <workbookView xWindow="11430" yWindow="0" windowWidth="11715" windowHeight="13050" activeTab="1"/>
  </bookViews>
  <sheets>
    <sheet name="CharaFixData" sheetId="2" r:id="rId1"/>
    <sheet name="SkillFixData" sheetId="3" r:id="rId2"/>
    <sheet name="定義" sheetId="4" r:id="rId3"/>
  </sheets>
  <externalReferences>
    <externalReference r:id="rId4"/>
  </externalReferenc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05" i="2" l="1"/>
  <c r="M205" i="2"/>
  <c r="K206" i="2"/>
  <c r="M206" i="2"/>
  <c r="K19" i="2"/>
  <c r="M19" i="2"/>
  <c r="K20" i="2"/>
  <c r="M20" i="2"/>
  <c r="K21" i="2"/>
  <c r="M21" i="2"/>
  <c r="K22" i="2"/>
  <c r="M22" i="2"/>
  <c r="K23" i="2"/>
  <c r="M23" i="2"/>
  <c r="K24" i="2"/>
  <c r="M24" i="2"/>
  <c r="K25" i="2"/>
  <c r="M25" i="2"/>
  <c r="K26" i="2"/>
  <c r="M26" i="2"/>
  <c r="K27" i="2"/>
  <c r="M27" i="2"/>
  <c r="K28" i="2"/>
  <c r="M28" i="2"/>
  <c r="K29" i="2"/>
  <c r="M29" i="2"/>
  <c r="K30" i="2"/>
  <c r="M30" i="2"/>
  <c r="K31" i="2"/>
  <c r="M31" i="2"/>
  <c r="K32" i="2"/>
  <c r="M32" i="2"/>
  <c r="K33" i="2"/>
  <c r="M33" i="2"/>
  <c r="K34" i="2"/>
  <c r="M34" i="2"/>
  <c r="K35" i="2"/>
  <c r="M35" i="2"/>
  <c r="K36" i="2"/>
  <c r="M36" i="2"/>
  <c r="K37" i="2"/>
  <c r="M37" i="2"/>
  <c r="K38" i="2"/>
  <c r="M38" i="2"/>
  <c r="K39" i="2"/>
  <c r="M39" i="2"/>
  <c r="K40" i="2"/>
  <c r="M40" i="2"/>
  <c r="K41" i="2"/>
  <c r="M41" i="2"/>
  <c r="K42" i="2"/>
  <c r="M42" i="2"/>
  <c r="K43" i="2"/>
  <c r="M43" i="2"/>
  <c r="K44" i="2"/>
  <c r="M44" i="2"/>
  <c r="K45" i="2"/>
  <c r="M45" i="2"/>
  <c r="K46" i="2"/>
  <c r="M46" i="2"/>
  <c r="K47" i="2"/>
  <c r="M47" i="2"/>
  <c r="K48" i="2"/>
  <c r="M48" i="2"/>
  <c r="K49" i="2"/>
  <c r="M49" i="2"/>
  <c r="K50" i="2"/>
  <c r="M50" i="2"/>
  <c r="K51" i="2"/>
  <c r="M51" i="2"/>
  <c r="K52" i="2"/>
  <c r="M52" i="2"/>
  <c r="K53" i="2"/>
  <c r="M53" i="2"/>
  <c r="K54" i="2"/>
  <c r="M54" i="2"/>
  <c r="K55" i="2"/>
  <c r="M55" i="2"/>
  <c r="K56" i="2"/>
  <c r="M56" i="2"/>
  <c r="K57" i="2"/>
  <c r="M57" i="2"/>
  <c r="K58" i="2"/>
  <c r="M58" i="2"/>
  <c r="K59" i="2"/>
  <c r="M59" i="2"/>
  <c r="K60" i="2"/>
  <c r="M60" i="2"/>
  <c r="K61" i="2"/>
  <c r="M61" i="2"/>
  <c r="K62" i="2"/>
  <c r="M62" i="2"/>
  <c r="K63" i="2"/>
  <c r="M63" i="2"/>
  <c r="K64" i="2"/>
  <c r="M64" i="2"/>
  <c r="K65" i="2"/>
  <c r="M65" i="2"/>
  <c r="K66" i="2"/>
  <c r="M66" i="2"/>
  <c r="K67" i="2"/>
  <c r="M67" i="2"/>
  <c r="K68" i="2"/>
  <c r="M68" i="2"/>
  <c r="K69" i="2"/>
  <c r="M69" i="2"/>
  <c r="K70" i="2"/>
  <c r="M70" i="2"/>
  <c r="K71" i="2"/>
  <c r="M71" i="2"/>
  <c r="K72" i="2"/>
  <c r="M72" i="2"/>
  <c r="K73" i="2"/>
  <c r="M73" i="2"/>
  <c r="K74" i="2"/>
  <c r="M74" i="2"/>
  <c r="K75" i="2"/>
  <c r="M75" i="2"/>
  <c r="K76" i="2"/>
  <c r="M76" i="2"/>
  <c r="K77" i="2"/>
  <c r="M77" i="2"/>
  <c r="K78" i="2"/>
  <c r="M78" i="2"/>
  <c r="K79" i="2"/>
  <c r="M79" i="2"/>
  <c r="K80" i="2"/>
  <c r="M80" i="2"/>
  <c r="K81" i="2"/>
  <c r="M81" i="2"/>
  <c r="K82" i="2"/>
  <c r="M82" i="2"/>
  <c r="K83" i="2"/>
  <c r="M83" i="2"/>
  <c r="K84" i="2"/>
  <c r="M84" i="2"/>
  <c r="K85" i="2"/>
  <c r="M85" i="2"/>
  <c r="K86" i="2"/>
  <c r="M86" i="2"/>
  <c r="K87" i="2"/>
  <c r="M87" i="2"/>
  <c r="K88" i="2"/>
  <c r="M88" i="2"/>
  <c r="K89" i="2"/>
  <c r="M89" i="2"/>
  <c r="K90" i="2"/>
  <c r="M90" i="2"/>
  <c r="K91" i="2"/>
  <c r="M91" i="2"/>
  <c r="K92" i="2"/>
  <c r="M92" i="2"/>
  <c r="K93" i="2"/>
  <c r="M93" i="2"/>
  <c r="K94" i="2"/>
  <c r="M94" i="2"/>
  <c r="K95" i="2"/>
  <c r="M95" i="2"/>
  <c r="K96" i="2"/>
  <c r="M96" i="2"/>
  <c r="K97" i="2"/>
  <c r="M97" i="2"/>
  <c r="K98" i="2"/>
  <c r="M98" i="2"/>
  <c r="K99" i="2"/>
  <c r="M99" i="2"/>
  <c r="K100" i="2"/>
  <c r="M100" i="2"/>
  <c r="K101" i="2"/>
  <c r="M101" i="2"/>
  <c r="K102" i="2"/>
  <c r="M102" i="2"/>
  <c r="K103" i="2"/>
  <c r="M103" i="2"/>
  <c r="K104" i="2"/>
  <c r="M104" i="2"/>
  <c r="K105" i="2"/>
  <c r="M105" i="2"/>
  <c r="K106" i="2"/>
  <c r="M106" i="2"/>
  <c r="K107" i="2"/>
  <c r="M107" i="2"/>
  <c r="K108" i="2"/>
  <c r="M108" i="2"/>
  <c r="K109" i="2"/>
  <c r="M109" i="2"/>
  <c r="K110" i="2"/>
  <c r="M110" i="2"/>
  <c r="K111" i="2"/>
  <c r="M111" i="2"/>
  <c r="K112" i="2"/>
  <c r="M112" i="2"/>
  <c r="K113" i="2"/>
  <c r="M113" i="2"/>
  <c r="K114" i="2"/>
  <c r="M114" i="2"/>
  <c r="K115" i="2"/>
  <c r="M115" i="2"/>
  <c r="K116" i="2"/>
  <c r="M116" i="2"/>
  <c r="K117" i="2"/>
  <c r="M117" i="2"/>
  <c r="K118" i="2"/>
  <c r="M118" i="2"/>
  <c r="K119" i="2"/>
  <c r="M119" i="2"/>
  <c r="K120" i="2"/>
  <c r="M120" i="2"/>
  <c r="K121" i="2"/>
  <c r="M121" i="2"/>
  <c r="K122" i="2"/>
  <c r="M122" i="2"/>
  <c r="K123" i="2"/>
  <c r="M123" i="2"/>
  <c r="K124" i="2"/>
  <c r="M124" i="2"/>
  <c r="K125" i="2"/>
  <c r="M125" i="2"/>
  <c r="K126" i="2"/>
  <c r="M126" i="2"/>
  <c r="K127" i="2"/>
  <c r="M127" i="2"/>
  <c r="K128" i="2"/>
  <c r="M128" i="2"/>
  <c r="K129" i="2"/>
  <c r="M129" i="2"/>
  <c r="K130" i="2"/>
  <c r="M130" i="2"/>
  <c r="K131" i="2"/>
  <c r="M131" i="2"/>
  <c r="K132" i="2"/>
  <c r="M132" i="2"/>
  <c r="K133" i="2"/>
  <c r="M133" i="2"/>
  <c r="K134" i="2"/>
  <c r="M134" i="2"/>
  <c r="K135" i="2"/>
  <c r="M135" i="2"/>
  <c r="K136" i="2"/>
  <c r="M136" i="2"/>
  <c r="K137" i="2"/>
  <c r="M137" i="2"/>
  <c r="K138" i="2"/>
  <c r="M138" i="2"/>
  <c r="K139" i="2"/>
  <c r="M139" i="2"/>
  <c r="K140" i="2"/>
  <c r="M140" i="2"/>
  <c r="K141" i="2"/>
  <c r="M141" i="2"/>
  <c r="K142" i="2"/>
  <c r="M142" i="2"/>
  <c r="K143" i="2"/>
  <c r="M143" i="2"/>
  <c r="K144" i="2"/>
  <c r="M144" i="2"/>
  <c r="K145" i="2"/>
  <c r="M145" i="2"/>
  <c r="K146" i="2"/>
  <c r="M146" i="2"/>
  <c r="K147" i="2"/>
  <c r="M147" i="2"/>
  <c r="K148" i="2"/>
  <c r="M148" i="2"/>
  <c r="K149" i="2"/>
  <c r="M149" i="2"/>
  <c r="K150" i="2"/>
  <c r="M150" i="2"/>
  <c r="K151" i="2"/>
  <c r="M151" i="2"/>
  <c r="K152" i="2"/>
  <c r="M152" i="2"/>
  <c r="K153" i="2"/>
  <c r="M153" i="2"/>
  <c r="K154" i="2"/>
  <c r="M154" i="2"/>
  <c r="K155" i="2"/>
  <c r="M155" i="2"/>
  <c r="K156" i="2"/>
  <c r="M156" i="2"/>
  <c r="K157" i="2"/>
  <c r="M157" i="2"/>
  <c r="K158" i="2"/>
  <c r="M158" i="2"/>
  <c r="K159" i="2"/>
  <c r="M159" i="2"/>
  <c r="K160" i="2"/>
  <c r="M160" i="2"/>
  <c r="K161" i="2"/>
  <c r="M161" i="2"/>
  <c r="K162" i="2"/>
  <c r="M162" i="2"/>
  <c r="K163" i="2"/>
  <c r="M163" i="2"/>
  <c r="K164" i="2"/>
  <c r="M164" i="2"/>
  <c r="K165" i="2"/>
  <c r="M165" i="2"/>
  <c r="K166" i="2"/>
  <c r="M166" i="2"/>
  <c r="K167" i="2"/>
  <c r="M167" i="2"/>
  <c r="K168" i="2"/>
  <c r="M168" i="2"/>
  <c r="K169" i="2"/>
  <c r="M169" i="2"/>
  <c r="K170" i="2"/>
  <c r="M170" i="2"/>
  <c r="K171" i="2"/>
  <c r="M171" i="2"/>
  <c r="K172" i="2"/>
  <c r="M172" i="2"/>
  <c r="K173" i="2"/>
  <c r="M173" i="2"/>
  <c r="K174" i="2"/>
  <c r="M174" i="2"/>
  <c r="K175" i="2"/>
  <c r="M175" i="2"/>
  <c r="K176" i="2"/>
  <c r="M176" i="2"/>
  <c r="K177" i="2"/>
  <c r="M177" i="2"/>
  <c r="K178" i="2"/>
  <c r="M178" i="2"/>
  <c r="K179" i="2"/>
  <c r="M179" i="2"/>
  <c r="K180" i="2"/>
  <c r="M180" i="2"/>
  <c r="K181" i="2"/>
  <c r="M181" i="2"/>
  <c r="K182" i="2"/>
  <c r="M182" i="2"/>
  <c r="K183" i="2"/>
  <c r="M183" i="2"/>
  <c r="K184" i="2"/>
  <c r="M184" i="2"/>
  <c r="K185" i="2"/>
  <c r="M185" i="2"/>
  <c r="K186" i="2"/>
  <c r="M186" i="2"/>
  <c r="K187" i="2"/>
  <c r="M187" i="2"/>
  <c r="K188" i="2"/>
  <c r="M188" i="2"/>
  <c r="K189" i="2"/>
  <c r="M189" i="2"/>
  <c r="K190" i="2"/>
  <c r="M190" i="2"/>
  <c r="K191" i="2"/>
  <c r="M191" i="2"/>
  <c r="K192" i="2"/>
  <c r="M192" i="2"/>
  <c r="K193" i="2"/>
  <c r="M193" i="2"/>
  <c r="K194" i="2"/>
  <c r="M194" i="2"/>
  <c r="K195" i="2"/>
  <c r="M195" i="2"/>
  <c r="K196" i="2"/>
  <c r="M196" i="2"/>
  <c r="K197" i="2"/>
  <c r="M197" i="2"/>
  <c r="K198" i="2"/>
  <c r="M198" i="2"/>
  <c r="K199" i="2"/>
  <c r="M199" i="2"/>
  <c r="K200" i="2"/>
  <c r="M200" i="2"/>
  <c r="K201" i="2"/>
  <c r="M201" i="2"/>
  <c r="K202" i="2"/>
  <c r="M202" i="2"/>
  <c r="K203" i="2"/>
  <c r="M203" i="2"/>
  <c r="K204" i="2"/>
  <c r="M204" i="2"/>
  <c r="K207" i="2"/>
  <c r="M207" i="2"/>
  <c r="K208" i="2"/>
  <c r="M208" i="2"/>
  <c r="K209" i="2"/>
  <c r="M209" i="2"/>
  <c r="K210" i="2"/>
  <c r="M210" i="2"/>
  <c r="K211" i="2"/>
  <c r="M211" i="2"/>
  <c r="K212" i="2"/>
  <c r="M212" i="2"/>
  <c r="K213" i="2"/>
  <c r="M213" i="2"/>
  <c r="K214" i="2"/>
  <c r="M214" i="2"/>
  <c r="K215" i="2"/>
  <c r="M215" i="2"/>
  <c r="K216" i="2"/>
  <c r="M216" i="2"/>
  <c r="K217" i="2"/>
  <c r="M217" i="2"/>
  <c r="K218" i="2"/>
  <c r="M218" i="2"/>
  <c r="K219" i="2"/>
  <c r="M219" i="2"/>
  <c r="K220" i="2"/>
  <c r="M220" i="2"/>
  <c r="K221" i="2"/>
  <c r="M221" i="2"/>
  <c r="K222" i="2"/>
  <c r="M222" i="2"/>
  <c r="K223" i="2"/>
  <c r="M223" i="2"/>
  <c r="K224" i="2"/>
  <c r="M224" i="2"/>
  <c r="K225" i="2"/>
  <c r="M225" i="2"/>
  <c r="K226" i="2"/>
  <c r="M226" i="2"/>
  <c r="K227" i="2"/>
  <c r="M227" i="2"/>
  <c r="K228" i="2"/>
  <c r="M228" i="2"/>
  <c r="K229" i="2"/>
  <c r="M229" i="2"/>
  <c r="K230" i="2"/>
  <c r="M230" i="2"/>
  <c r="K231" i="2"/>
  <c r="M231" i="2"/>
  <c r="K232" i="2"/>
  <c r="M232" i="2"/>
  <c r="K233" i="2"/>
  <c r="M233" i="2"/>
  <c r="K234" i="2"/>
  <c r="M234" i="2"/>
  <c r="K235" i="2"/>
  <c r="M235" i="2"/>
  <c r="K236" i="2"/>
  <c r="M236" i="2"/>
  <c r="K237" i="2"/>
  <c r="M237" i="2"/>
  <c r="K238" i="2"/>
  <c r="M238" i="2"/>
  <c r="K239" i="2"/>
  <c r="M239" i="2"/>
  <c r="K240" i="2"/>
  <c r="M240" i="2"/>
  <c r="K241" i="2"/>
  <c r="M241" i="2"/>
  <c r="K242" i="2"/>
  <c r="M242" i="2"/>
  <c r="K243" i="2"/>
  <c r="M243" i="2"/>
  <c r="K244" i="2"/>
  <c r="M244" i="2"/>
  <c r="K245" i="2"/>
  <c r="M245" i="2"/>
  <c r="K246" i="2"/>
  <c r="M246" i="2"/>
  <c r="K247" i="2"/>
  <c r="M247" i="2"/>
  <c r="K248" i="2"/>
  <c r="M248" i="2"/>
  <c r="K249" i="2"/>
  <c r="M249" i="2"/>
  <c r="K250" i="2"/>
  <c r="M250" i="2"/>
  <c r="K251" i="2"/>
  <c r="M251" i="2"/>
  <c r="K252" i="2"/>
  <c r="M252" i="2"/>
  <c r="K253" i="2"/>
  <c r="M253" i="2"/>
  <c r="K254" i="2"/>
  <c r="M254" i="2"/>
  <c r="K255" i="2"/>
  <c r="M255" i="2"/>
  <c r="K256" i="2"/>
  <c r="M256" i="2"/>
  <c r="K257" i="2"/>
  <c r="M257" i="2"/>
  <c r="K258" i="2"/>
  <c r="M258" i="2"/>
  <c r="K259" i="2"/>
  <c r="M259" i="2"/>
  <c r="K260" i="2"/>
  <c r="M260" i="2"/>
  <c r="K261" i="2"/>
  <c r="M261" i="2"/>
  <c r="K262" i="2"/>
  <c r="M262" i="2"/>
  <c r="K263" i="2"/>
  <c r="M263" i="2"/>
  <c r="K264" i="2"/>
  <c r="M264" i="2"/>
  <c r="K265" i="2"/>
  <c r="M265" i="2"/>
  <c r="K266" i="2"/>
  <c r="M266" i="2"/>
  <c r="K267" i="2"/>
  <c r="M267" i="2"/>
  <c r="K268" i="2"/>
  <c r="M268" i="2"/>
  <c r="K269" i="2"/>
  <c r="M269" i="2"/>
  <c r="K270" i="2"/>
  <c r="M270" i="2"/>
  <c r="K271" i="2"/>
  <c r="M271" i="2"/>
  <c r="K272" i="2"/>
  <c r="M272" i="2"/>
  <c r="K273" i="2"/>
  <c r="M273" i="2"/>
  <c r="K274" i="2"/>
  <c r="M274" i="2"/>
  <c r="K275" i="2"/>
  <c r="M275" i="2"/>
  <c r="K276" i="2"/>
  <c r="M276" i="2"/>
  <c r="K277" i="2"/>
  <c r="M277" i="2"/>
  <c r="K278" i="2"/>
  <c r="M278" i="2"/>
  <c r="K279" i="2"/>
  <c r="M279" i="2"/>
  <c r="K280" i="2"/>
  <c r="M280" i="2"/>
  <c r="K281" i="2"/>
  <c r="M281" i="2"/>
  <c r="K282" i="2"/>
  <c r="M282" i="2"/>
  <c r="K283" i="2"/>
  <c r="M283" i="2"/>
  <c r="K284" i="2"/>
  <c r="M284" i="2"/>
  <c r="K285" i="2"/>
  <c r="M285" i="2"/>
  <c r="K286" i="2"/>
  <c r="M286" i="2"/>
  <c r="K287" i="2"/>
  <c r="M287" i="2"/>
  <c r="K288" i="2"/>
  <c r="M288" i="2"/>
  <c r="K289" i="2"/>
  <c r="M289" i="2"/>
  <c r="K290" i="2"/>
  <c r="M290" i="2"/>
  <c r="K291" i="2"/>
  <c r="M291" i="2"/>
  <c r="K292" i="2"/>
  <c r="M292" i="2"/>
  <c r="K293" i="2"/>
  <c r="M293" i="2"/>
  <c r="K294" i="2"/>
  <c r="M294" i="2"/>
  <c r="K295" i="2"/>
  <c r="M295" i="2"/>
  <c r="K296" i="2"/>
  <c r="M296" i="2"/>
  <c r="K297" i="2"/>
  <c r="M297" i="2"/>
  <c r="K298" i="2"/>
  <c r="M298" i="2"/>
  <c r="K299" i="2"/>
  <c r="M299" i="2"/>
  <c r="K300" i="2"/>
  <c r="M300" i="2"/>
  <c r="K301" i="2"/>
  <c r="M301" i="2"/>
  <c r="K302" i="2"/>
  <c r="M302" i="2"/>
  <c r="K303" i="2"/>
  <c r="M303" i="2"/>
  <c r="K7" i="2"/>
  <c r="M7" i="2"/>
  <c r="K8" i="2"/>
  <c r="M8" i="2"/>
  <c r="K9" i="2"/>
  <c r="M9" i="2"/>
  <c r="K10" i="2"/>
  <c r="M10" i="2"/>
  <c r="K11" i="2"/>
  <c r="M11" i="2"/>
  <c r="K12" i="2"/>
  <c r="M12" i="2"/>
  <c r="K13" i="2"/>
  <c r="M13" i="2"/>
  <c r="K14" i="2"/>
  <c r="M14" i="2"/>
  <c r="K15" i="2"/>
  <c r="M15" i="2"/>
  <c r="K16" i="2"/>
  <c r="M16" i="2"/>
  <c r="K17" i="2"/>
  <c r="M17" i="2"/>
  <c r="K18" i="2"/>
  <c r="M18" i="2"/>
  <c r="K5" i="2"/>
  <c r="M5" i="2"/>
  <c r="K6" i="2"/>
  <c r="M6" i="2"/>
  <c r="M4" i="2"/>
  <c r="K4" i="2"/>
  <c r="M2" i="2"/>
  <c r="M3" i="2"/>
  <c r="K3" i="2"/>
  <c r="K2" i="2"/>
  <c r="A2" i="2"/>
  <c r="L6" i="3" l="1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2" i="3"/>
  <c r="L3" i="3"/>
  <c r="L4" i="3"/>
  <c r="L5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" i="3"/>
  <c r="E2" i="3"/>
  <c r="G11" i="3"/>
  <c r="I11" i="3"/>
  <c r="G12" i="3"/>
  <c r="I12" i="3"/>
  <c r="G13" i="3"/>
  <c r="I13" i="3"/>
  <c r="G14" i="3"/>
  <c r="I14" i="3"/>
  <c r="G15" i="3"/>
  <c r="I15" i="3"/>
  <c r="G16" i="3"/>
  <c r="I16" i="3"/>
  <c r="G17" i="3"/>
  <c r="I17" i="3"/>
  <c r="G18" i="3"/>
  <c r="I18" i="3"/>
  <c r="G19" i="3"/>
  <c r="I19" i="3"/>
  <c r="G20" i="3"/>
  <c r="I20" i="3"/>
  <c r="G21" i="3"/>
  <c r="I21" i="3"/>
  <c r="G22" i="3"/>
  <c r="I22" i="3"/>
  <c r="G23" i="3"/>
  <c r="I23" i="3"/>
  <c r="G24" i="3"/>
  <c r="I24" i="3"/>
  <c r="G25" i="3"/>
  <c r="I25" i="3"/>
  <c r="G26" i="3"/>
  <c r="I26" i="3"/>
  <c r="G27" i="3"/>
  <c r="I27" i="3"/>
  <c r="G28" i="3"/>
  <c r="I28" i="3"/>
  <c r="G29" i="3"/>
  <c r="I29" i="3"/>
  <c r="G30" i="3"/>
  <c r="I30" i="3"/>
  <c r="G31" i="3"/>
  <c r="I31" i="3"/>
  <c r="G32" i="3"/>
  <c r="I32" i="3"/>
  <c r="G33" i="3"/>
  <c r="I33" i="3"/>
  <c r="G34" i="3"/>
  <c r="I34" i="3"/>
  <c r="G35" i="3"/>
  <c r="I35" i="3"/>
  <c r="G36" i="3"/>
  <c r="I36" i="3"/>
  <c r="G37" i="3"/>
  <c r="I37" i="3"/>
  <c r="G38" i="3"/>
  <c r="I38" i="3"/>
  <c r="G39" i="3"/>
  <c r="I39" i="3"/>
  <c r="G40" i="3"/>
  <c r="I40" i="3"/>
  <c r="G41" i="3"/>
  <c r="I41" i="3"/>
  <c r="G42" i="3"/>
  <c r="I42" i="3"/>
  <c r="G43" i="3"/>
  <c r="I43" i="3"/>
  <c r="G44" i="3"/>
  <c r="I44" i="3"/>
  <c r="G45" i="3"/>
  <c r="I45" i="3"/>
  <c r="G46" i="3"/>
  <c r="I46" i="3"/>
  <c r="G47" i="3"/>
  <c r="I47" i="3"/>
  <c r="G48" i="3"/>
  <c r="I48" i="3"/>
  <c r="G49" i="3"/>
  <c r="I49" i="3"/>
  <c r="G50" i="3"/>
  <c r="I50" i="3"/>
  <c r="G51" i="3"/>
  <c r="I51" i="3"/>
  <c r="G52" i="3"/>
  <c r="I52" i="3"/>
  <c r="G53" i="3"/>
  <c r="I53" i="3"/>
  <c r="G54" i="3"/>
  <c r="I54" i="3"/>
  <c r="G55" i="3"/>
  <c r="I55" i="3"/>
  <c r="G56" i="3"/>
  <c r="I56" i="3"/>
  <c r="G57" i="3"/>
  <c r="I57" i="3"/>
  <c r="G58" i="3"/>
  <c r="I58" i="3"/>
  <c r="G59" i="3"/>
  <c r="I59" i="3"/>
  <c r="G60" i="3"/>
  <c r="I60" i="3"/>
  <c r="G61" i="3"/>
  <c r="I61" i="3"/>
  <c r="G62" i="3"/>
  <c r="I62" i="3"/>
  <c r="G63" i="3"/>
  <c r="I63" i="3"/>
  <c r="G64" i="3"/>
  <c r="I64" i="3"/>
  <c r="G65" i="3"/>
  <c r="I65" i="3"/>
  <c r="G66" i="3"/>
  <c r="I66" i="3"/>
  <c r="G67" i="3"/>
  <c r="I67" i="3"/>
  <c r="G68" i="3"/>
  <c r="I68" i="3"/>
  <c r="G69" i="3"/>
  <c r="I69" i="3"/>
  <c r="G70" i="3"/>
  <c r="I70" i="3"/>
  <c r="G71" i="3"/>
  <c r="I71" i="3"/>
  <c r="G72" i="3"/>
  <c r="I72" i="3"/>
  <c r="G73" i="3"/>
  <c r="I73" i="3"/>
  <c r="G74" i="3"/>
  <c r="I74" i="3"/>
  <c r="G75" i="3"/>
  <c r="I75" i="3"/>
  <c r="G76" i="3"/>
  <c r="I76" i="3"/>
  <c r="G77" i="3"/>
  <c r="I77" i="3"/>
  <c r="G78" i="3"/>
  <c r="I78" i="3"/>
  <c r="G79" i="3"/>
  <c r="I79" i="3"/>
  <c r="G80" i="3"/>
  <c r="I80" i="3"/>
  <c r="G81" i="3"/>
  <c r="I81" i="3"/>
  <c r="G82" i="3"/>
  <c r="I82" i="3"/>
  <c r="G83" i="3"/>
  <c r="I83" i="3"/>
  <c r="G84" i="3"/>
  <c r="I84" i="3"/>
  <c r="G85" i="3"/>
  <c r="I85" i="3"/>
  <c r="G86" i="3"/>
  <c r="I86" i="3"/>
  <c r="G87" i="3"/>
  <c r="I87" i="3"/>
  <c r="G88" i="3"/>
  <c r="I88" i="3"/>
  <c r="G89" i="3"/>
  <c r="I89" i="3"/>
  <c r="G90" i="3"/>
  <c r="I90" i="3"/>
  <c r="G91" i="3"/>
  <c r="I91" i="3"/>
  <c r="G92" i="3"/>
  <c r="I92" i="3"/>
  <c r="G93" i="3"/>
  <c r="I93" i="3"/>
  <c r="G94" i="3"/>
  <c r="I94" i="3"/>
  <c r="G95" i="3"/>
  <c r="I95" i="3"/>
  <c r="G96" i="3"/>
  <c r="I96" i="3"/>
  <c r="G97" i="3"/>
  <c r="I97" i="3"/>
  <c r="G98" i="3"/>
  <c r="I98" i="3"/>
  <c r="G99" i="3"/>
  <c r="I99" i="3"/>
  <c r="G100" i="3"/>
  <c r="I100" i="3"/>
  <c r="G101" i="3"/>
  <c r="I101" i="3"/>
  <c r="G102" i="3"/>
  <c r="I102" i="3"/>
  <c r="G103" i="3"/>
  <c r="I103" i="3"/>
  <c r="G104" i="3"/>
  <c r="I104" i="3"/>
  <c r="G105" i="3"/>
  <c r="I105" i="3"/>
  <c r="G106" i="3"/>
  <c r="I106" i="3"/>
  <c r="G107" i="3"/>
  <c r="I107" i="3"/>
  <c r="G108" i="3"/>
  <c r="I108" i="3"/>
  <c r="G109" i="3"/>
  <c r="I109" i="3"/>
  <c r="G110" i="3"/>
  <c r="I110" i="3"/>
  <c r="G111" i="3"/>
  <c r="I111" i="3"/>
  <c r="G112" i="3"/>
  <c r="I112" i="3"/>
  <c r="G113" i="3"/>
  <c r="I113" i="3"/>
  <c r="G114" i="3"/>
  <c r="I114" i="3"/>
  <c r="G115" i="3"/>
  <c r="I115" i="3"/>
  <c r="G116" i="3"/>
  <c r="I116" i="3"/>
  <c r="G117" i="3"/>
  <c r="I117" i="3"/>
  <c r="G118" i="3"/>
  <c r="I118" i="3"/>
  <c r="G119" i="3"/>
  <c r="I119" i="3"/>
  <c r="G120" i="3"/>
  <c r="I120" i="3"/>
  <c r="G121" i="3"/>
  <c r="I121" i="3"/>
  <c r="G122" i="3"/>
  <c r="I122" i="3"/>
  <c r="G123" i="3"/>
  <c r="I123" i="3"/>
  <c r="G124" i="3"/>
  <c r="I124" i="3"/>
  <c r="G125" i="3"/>
  <c r="I125" i="3"/>
  <c r="G126" i="3"/>
  <c r="I126" i="3"/>
  <c r="G127" i="3"/>
  <c r="I127" i="3"/>
  <c r="G128" i="3"/>
  <c r="I128" i="3"/>
  <c r="G129" i="3"/>
  <c r="I129" i="3"/>
  <c r="G130" i="3"/>
  <c r="I130" i="3"/>
  <c r="G131" i="3"/>
  <c r="I131" i="3"/>
  <c r="G132" i="3"/>
  <c r="I132" i="3"/>
  <c r="G133" i="3"/>
  <c r="I133" i="3"/>
  <c r="G134" i="3"/>
  <c r="I134" i="3"/>
  <c r="G135" i="3"/>
  <c r="I135" i="3"/>
  <c r="G136" i="3"/>
  <c r="I136" i="3"/>
  <c r="G137" i="3"/>
  <c r="I137" i="3"/>
  <c r="G138" i="3"/>
  <c r="I138" i="3"/>
  <c r="G139" i="3"/>
  <c r="I139" i="3"/>
  <c r="G140" i="3"/>
  <c r="I140" i="3"/>
  <c r="G141" i="3"/>
  <c r="I141" i="3"/>
  <c r="G142" i="3"/>
  <c r="I142" i="3"/>
  <c r="G143" i="3"/>
  <c r="I143" i="3"/>
  <c r="G144" i="3"/>
  <c r="I144" i="3"/>
  <c r="G145" i="3"/>
  <c r="I145" i="3"/>
  <c r="G146" i="3"/>
  <c r="I146" i="3"/>
  <c r="G147" i="3"/>
  <c r="I147" i="3"/>
  <c r="G148" i="3"/>
  <c r="I148" i="3"/>
  <c r="G149" i="3"/>
  <c r="I149" i="3"/>
  <c r="G150" i="3"/>
  <c r="I150" i="3"/>
  <c r="G151" i="3"/>
  <c r="I151" i="3"/>
  <c r="G152" i="3"/>
  <c r="I152" i="3"/>
  <c r="G153" i="3"/>
  <c r="I153" i="3"/>
  <c r="G154" i="3"/>
  <c r="I154" i="3"/>
  <c r="G155" i="3"/>
  <c r="I155" i="3"/>
  <c r="G156" i="3"/>
  <c r="I156" i="3"/>
  <c r="G157" i="3"/>
  <c r="I157" i="3"/>
  <c r="G158" i="3"/>
  <c r="I158" i="3"/>
  <c r="G159" i="3"/>
  <c r="I159" i="3"/>
  <c r="G160" i="3"/>
  <c r="I160" i="3"/>
  <c r="G161" i="3"/>
  <c r="I161" i="3"/>
  <c r="G162" i="3"/>
  <c r="I162" i="3"/>
  <c r="G163" i="3"/>
  <c r="I163" i="3"/>
  <c r="G164" i="3"/>
  <c r="I164" i="3"/>
  <c r="G165" i="3"/>
  <c r="I165" i="3"/>
  <c r="G166" i="3"/>
  <c r="I166" i="3"/>
  <c r="G167" i="3"/>
  <c r="I167" i="3"/>
  <c r="G168" i="3"/>
  <c r="I168" i="3"/>
  <c r="G169" i="3"/>
  <c r="I169" i="3"/>
  <c r="G170" i="3"/>
  <c r="I170" i="3"/>
  <c r="G171" i="3"/>
  <c r="I171" i="3"/>
  <c r="G172" i="3"/>
  <c r="I172" i="3"/>
  <c r="G173" i="3"/>
  <c r="I173" i="3"/>
  <c r="G174" i="3"/>
  <c r="I174" i="3"/>
  <c r="G175" i="3"/>
  <c r="I175" i="3"/>
  <c r="G176" i="3"/>
  <c r="I176" i="3"/>
  <c r="G177" i="3"/>
  <c r="I177" i="3"/>
  <c r="G178" i="3"/>
  <c r="I178" i="3"/>
  <c r="G179" i="3"/>
  <c r="I179" i="3"/>
  <c r="G180" i="3"/>
  <c r="I180" i="3"/>
  <c r="G181" i="3"/>
  <c r="I181" i="3"/>
  <c r="G182" i="3"/>
  <c r="I182" i="3"/>
  <c r="G183" i="3"/>
  <c r="I183" i="3"/>
  <c r="G184" i="3"/>
  <c r="I184" i="3"/>
  <c r="G185" i="3"/>
  <c r="I185" i="3"/>
  <c r="G186" i="3"/>
  <c r="I186" i="3"/>
  <c r="G187" i="3"/>
  <c r="I187" i="3"/>
  <c r="G188" i="3"/>
  <c r="I188" i="3"/>
  <c r="G189" i="3"/>
  <c r="I189" i="3"/>
  <c r="G190" i="3"/>
  <c r="I190" i="3"/>
  <c r="G191" i="3"/>
  <c r="I191" i="3"/>
  <c r="G192" i="3"/>
  <c r="I192" i="3"/>
  <c r="G193" i="3"/>
  <c r="I193" i="3"/>
  <c r="G194" i="3"/>
  <c r="I194" i="3"/>
  <c r="G195" i="3"/>
  <c r="I195" i="3"/>
  <c r="G196" i="3"/>
  <c r="I196" i="3"/>
  <c r="G197" i="3"/>
  <c r="I197" i="3"/>
  <c r="G198" i="3"/>
  <c r="I198" i="3"/>
  <c r="G199" i="3"/>
  <c r="I199" i="3"/>
  <c r="G200" i="3"/>
  <c r="I200" i="3"/>
  <c r="G201" i="3"/>
  <c r="I201" i="3"/>
  <c r="G202" i="3"/>
  <c r="I202" i="3"/>
  <c r="G203" i="3"/>
  <c r="I203" i="3"/>
  <c r="G204" i="3"/>
  <c r="I204" i="3"/>
  <c r="G205" i="3"/>
  <c r="I205" i="3"/>
  <c r="G206" i="3"/>
  <c r="I206" i="3"/>
  <c r="G207" i="3"/>
  <c r="I207" i="3"/>
  <c r="G208" i="3"/>
  <c r="I208" i="3"/>
  <c r="G209" i="3"/>
  <c r="I209" i="3"/>
  <c r="G210" i="3"/>
  <c r="I210" i="3"/>
  <c r="G211" i="3"/>
  <c r="I211" i="3"/>
  <c r="G212" i="3"/>
  <c r="I212" i="3"/>
  <c r="G213" i="3"/>
  <c r="I213" i="3"/>
  <c r="G214" i="3"/>
  <c r="I214" i="3"/>
  <c r="G215" i="3"/>
  <c r="I215" i="3"/>
  <c r="G216" i="3"/>
  <c r="I216" i="3"/>
  <c r="G217" i="3"/>
  <c r="I217" i="3"/>
  <c r="G218" i="3"/>
  <c r="I218" i="3"/>
  <c r="G219" i="3"/>
  <c r="I219" i="3"/>
  <c r="G220" i="3"/>
  <c r="I220" i="3"/>
  <c r="G221" i="3"/>
  <c r="I221" i="3"/>
  <c r="G222" i="3"/>
  <c r="I222" i="3"/>
  <c r="G223" i="3"/>
  <c r="I223" i="3"/>
  <c r="G224" i="3"/>
  <c r="I224" i="3"/>
  <c r="G225" i="3"/>
  <c r="I225" i="3"/>
  <c r="G226" i="3"/>
  <c r="I226" i="3"/>
  <c r="G227" i="3"/>
  <c r="I227" i="3"/>
  <c r="G228" i="3"/>
  <c r="I228" i="3"/>
  <c r="G229" i="3"/>
  <c r="I229" i="3"/>
  <c r="G230" i="3"/>
  <c r="I230" i="3"/>
  <c r="G231" i="3"/>
  <c r="I231" i="3"/>
  <c r="G232" i="3"/>
  <c r="I232" i="3"/>
  <c r="G233" i="3"/>
  <c r="I233" i="3"/>
  <c r="G234" i="3"/>
  <c r="I234" i="3"/>
  <c r="G235" i="3"/>
  <c r="I235" i="3"/>
  <c r="G236" i="3"/>
  <c r="I236" i="3"/>
  <c r="G237" i="3"/>
  <c r="I237" i="3"/>
  <c r="G238" i="3"/>
  <c r="I238" i="3"/>
  <c r="G239" i="3"/>
  <c r="I239" i="3"/>
  <c r="G240" i="3"/>
  <c r="I240" i="3"/>
  <c r="G241" i="3"/>
  <c r="I241" i="3"/>
  <c r="G242" i="3"/>
  <c r="I242" i="3"/>
  <c r="G243" i="3"/>
  <c r="I243" i="3"/>
  <c r="G244" i="3"/>
  <c r="I244" i="3"/>
  <c r="G245" i="3"/>
  <c r="I245" i="3"/>
  <c r="G246" i="3"/>
  <c r="I246" i="3"/>
  <c r="G247" i="3"/>
  <c r="I247" i="3"/>
  <c r="G248" i="3"/>
  <c r="I248" i="3"/>
  <c r="G249" i="3"/>
  <c r="I249" i="3"/>
  <c r="G250" i="3"/>
  <c r="I250" i="3"/>
  <c r="G251" i="3"/>
  <c r="I251" i="3"/>
  <c r="G252" i="3"/>
  <c r="I252" i="3"/>
  <c r="G253" i="3"/>
  <c r="I253" i="3"/>
  <c r="G254" i="3"/>
  <c r="I254" i="3"/>
  <c r="G255" i="3"/>
  <c r="I255" i="3"/>
  <c r="G256" i="3"/>
  <c r="I256" i="3"/>
  <c r="G257" i="3"/>
  <c r="I257" i="3"/>
  <c r="G258" i="3"/>
  <c r="I258" i="3"/>
  <c r="G259" i="3"/>
  <c r="I259" i="3"/>
  <c r="G260" i="3"/>
  <c r="I260" i="3"/>
  <c r="G261" i="3"/>
  <c r="I261" i="3"/>
  <c r="G262" i="3"/>
  <c r="I262" i="3"/>
  <c r="G263" i="3"/>
  <c r="I263" i="3"/>
  <c r="G264" i="3"/>
  <c r="I264" i="3"/>
  <c r="G265" i="3"/>
  <c r="I265" i="3"/>
  <c r="G266" i="3"/>
  <c r="I266" i="3"/>
  <c r="G267" i="3"/>
  <c r="I267" i="3"/>
  <c r="G268" i="3"/>
  <c r="I268" i="3"/>
  <c r="G269" i="3"/>
  <c r="I269" i="3"/>
  <c r="G270" i="3"/>
  <c r="I270" i="3"/>
  <c r="G271" i="3"/>
  <c r="I271" i="3"/>
  <c r="G272" i="3"/>
  <c r="I272" i="3"/>
  <c r="G273" i="3"/>
  <c r="I273" i="3"/>
  <c r="G274" i="3"/>
  <c r="I274" i="3"/>
  <c r="G275" i="3"/>
  <c r="I275" i="3"/>
  <c r="G276" i="3"/>
  <c r="I276" i="3"/>
  <c r="G277" i="3"/>
  <c r="I277" i="3"/>
  <c r="G278" i="3"/>
  <c r="I278" i="3"/>
  <c r="G279" i="3"/>
  <c r="I279" i="3"/>
  <c r="G280" i="3"/>
  <c r="I280" i="3"/>
  <c r="G281" i="3"/>
  <c r="I281" i="3"/>
  <c r="G282" i="3"/>
  <c r="I282" i="3"/>
  <c r="G283" i="3"/>
  <c r="I283" i="3"/>
  <c r="G284" i="3"/>
  <c r="I284" i="3"/>
  <c r="G285" i="3"/>
  <c r="I285" i="3"/>
  <c r="G286" i="3"/>
  <c r="I286" i="3"/>
  <c r="G287" i="3"/>
  <c r="I287" i="3"/>
  <c r="G288" i="3"/>
  <c r="I288" i="3"/>
  <c r="G289" i="3"/>
  <c r="I289" i="3"/>
  <c r="G290" i="3"/>
  <c r="I290" i="3"/>
  <c r="G291" i="3"/>
  <c r="I291" i="3"/>
  <c r="G292" i="3"/>
  <c r="I292" i="3"/>
  <c r="G293" i="3"/>
  <c r="I293" i="3"/>
  <c r="G294" i="3"/>
  <c r="I294" i="3"/>
  <c r="G295" i="3"/>
  <c r="I295" i="3"/>
  <c r="G296" i="3"/>
  <c r="I296" i="3"/>
  <c r="G297" i="3"/>
  <c r="I297" i="3"/>
  <c r="G298" i="3"/>
  <c r="I298" i="3"/>
  <c r="G299" i="3"/>
  <c r="I299" i="3"/>
  <c r="G300" i="3"/>
  <c r="I300" i="3"/>
  <c r="G301" i="3"/>
  <c r="I301" i="3"/>
  <c r="G302" i="3"/>
  <c r="I302" i="3"/>
  <c r="G3" i="3"/>
  <c r="I3" i="3"/>
  <c r="G4" i="3"/>
  <c r="I4" i="3"/>
  <c r="G5" i="3"/>
  <c r="I5" i="3"/>
  <c r="G6" i="3"/>
  <c r="I6" i="3"/>
  <c r="G7" i="3"/>
  <c r="I7" i="3"/>
  <c r="G8" i="3"/>
  <c r="I8" i="3"/>
  <c r="G9" i="3"/>
  <c r="I9" i="3"/>
  <c r="G10" i="3"/>
  <c r="I10" i="3"/>
  <c r="I2" i="3"/>
  <c r="G2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2" i="3"/>
  <c r="A34" i="2" l="1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" i="2"/>
  <c r="A4" i="2"/>
  <c r="A5" i="2" l="1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</calcChain>
</file>

<file path=xl/sharedStrings.xml><?xml version="1.0" encoding="utf-8"?>
<sst xmlns="http://schemas.openxmlformats.org/spreadsheetml/2006/main" count="640" uniqueCount="339">
  <si>
    <t>ID</t>
    <phoneticPr fontId="1"/>
  </si>
  <si>
    <t>画像パス</t>
    <rPh sb="0" eb="2">
      <t>ガゾウ</t>
    </rPh>
    <phoneticPr fontId="1"/>
  </si>
  <si>
    <t>名称_参照データのため手動変更不可</t>
    <rPh sb="0" eb="2">
      <t>メイショウ</t>
    </rPh>
    <rPh sb="11" eb="15">
      <t>シュドウヘンコウ</t>
    </rPh>
    <rPh sb="15" eb="17">
      <t>フカ</t>
    </rPh>
    <phoneticPr fontId="1"/>
  </si>
  <si>
    <t>Textures/Chara/Chara000</t>
    <phoneticPr fontId="1"/>
  </si>
  <si>
    <t>Textures/Chara/Chara001</t>
    <phoneticPr fontId="1"/>
  </si>
  <si>
    <t>Textures/Chara/Chara002</t>
  </si>
  <si>
    <t>Textures/Chara/Chara003</t>
  </si>
  <si>
    <t>Textures/Chara/Chara004</t>
  </si>
  <si>
    <t>Textures/Chara/Chara005</t>
  </si>
  <si>
    <t>Textures/Chara/Chara006</t>
  </si>
  <si>
    <t>Textures/Chara/Chara007</t>
  </si>
  <si>
    <t>Textures/Chara/Chara008</t>
  </si>
  <si>
    <t>Textures/Chara/Chara009</t>
  </si>
  <si>
    <t>Textures/Chara/Chara010</t>
  </si>
  <si>
    <t>Textures/Chara/Chara011</t>
  </si>
  <si>
    <t>Textures/Chara/Chara012</t>
  </si>
  <si>
    <t>Textures/Chara/Chara013</t>
  </si>
  <si>
    <t>Textures/Chara/Chara014</t>
  </si>
  <si>
    <t>Textures/Chara/Chara015</t>
  </si>
  <si>
    <t>Textures/Chara/Chara016</t>
  </si>
  <si>
    <t>Textures/Chara/Chara017</t>
  </si>
  <si>
    <t>Textures/Chara/Chara018</t>
  </si>
  <si>
    <t>Textures/Chara/Chara019</t>
  </si>
  <si>
    <t>Textures/Chara/Chara020</t>
  </si>
  <si>
    <t>Textures/Chara/Chara021</t>
  </si>
  <si>
    <t>Textures/Chara/Chara022</t>
  </si>
  <si>
    <t>Textures/Chara/Chara023</t>
  </si>
  <si>
    <t>Textures/Chara/Chara024</t>
  </si>
  <si>
    <t>Textures/Chara/Chara025</t>
  </si>
  <si>
    <t>Textures/Chara/Chara026</t>
  </si>
  <si>
    <t>Textures/Chara/Chara027</t>
  </si>
  <si>
    <t>Textures/Chara/Chara028</t>
  </si>
  <si>
    <t>Textures/Chara/Chara029</t>
  </si>
  <si>
    <t>Textures/Chara/Chara030</t>
  </si>
  <si>
    <t>Textures/Chara/Chara031</t>
  </si>
  <si>
    <t>Textures/Chara/Chara032</t>
  </si>
  <si>
    <t>Textures/Chara/Chara033</t>
  </si>
  <si>
    <t>Textures/Chara/Chara034</t>
  </si>
  <si>
    <t>Textures/Chara/Chara035</t>
  </si>
  <si>
    <t>Textures/Chara/Chara036</t>
  </si>
  <si>
    <t>Textures/Chara/Chara037</t>
  </si>
  <si>
    <t>Textures/Chara/Chara038</t>
  </si>
  <si>
    <t>Textures/Chara/Chara039</t>
  </si>
  <si>
    <t>Textures/Chara/Chara040</t>
  </si>
  <si>
    <t>Textures/Chara/Chara041</t>
  </si>
  <si>
    <t>Textures/Chara/Chara042</t>
  </si>
  <si>
    <t>Textures/Chara/Chara043</t>
  </si>
  <si>
    <t>Textures/Chara/Chara044</t>
  </si>
  <si>
    <t>Textures/Chara/Chara045</t>
  </si>
  <si>
    <t>Textures/Chara/Chara046</t>
  </si>
  <si>
    <t>Textures/Chara/Chara047</t>
  </si>
  <si>
    <t>Textures/Chara/Chara048</t>
  </si>
  <si>
    <t>Textures/Chara/Chara049</t>
  </si>
  <si>
    <t>Textures/Chara/Chara050</t>
  </si>
  <si>
    <t>Textures/Chara/Chara051</t>
  </si>
  <si>
    <t>Textures/Chara/Chara052</t>
  </si>
  <si>
    <t>Textures/Chara/Chara053</t>
  </si>
  <si>
    <t>Textures/Chara/Chara054</t>
  </si>
  <si>
    <t>Textures/Chara/Chara055</t>
  </si>
  <si>
    <t>Textures/Chara/Chara056</t>
  </si>
  <si>
    <t>Textures/Chara/Chara057</t>
  </si>
  <si>
    <t>Textures/Chara/Chara058</t>
  </si>
  <si>
    <t>Textures/Chara/Chara059</t>
  </si>
  <si>
    <t>Textures/Chara/Chara060</t>
  </si>
  <si>
    <t>Textures/Chara/Chara061</t>
  </si>
  <si>
    <t>Textures/Chara/Chara062</t>
  </si>
  <si>
    <t>Textures/Chara/Chara063</t>
  </si>
  <si>
    <t>Textures/Chara/Chara064</t>
  </si>
  <si>
    <t>Textures/Chara/Chara065</t>
  </si>
  <si>
    <t>Textures/Chara/Chara066</t>
  </si>
  <si>
    <t>Textures/Chara/Chara067</t>
  </si>
  <si>
    <t>Textures/Chara/Chara068</t>
  </si>
  <si>
    <t>Textures/Chara/Chara069</t>
  </si>
  <si>
    <t>Textures/Chara/Chara070</t>
  </si>
  <si>
    <t>Textures/Chara/Chara071</t>
  </si>
  <si>
    <t>Textures/Chara/Chara072</t>
  </si>
  <si>
    <t>Textures/Chara/Chara073</t>
  </si>
  <si>
    <t>Textures/Chara/Chara074</t>
  </si>
  <si>
    <t>Textures/Chara/Chara075</t>
  </si>
  <si>
    <t>Textures/Chara/Chara076</t>
  </si>
  <si>
    <t>Textures/Chara/Chara077</t>
  </si>
  <si>
    <t>Textures/Chara/Chara078</t>
  </si>
  <si>
    <t>Textures/Chara/Chara079</t>
  </si>
  <si>
    <t>Textures/Chara/Chara080</t>
  </si>
  <si>
    <t>Textures/Chara/Chara081</t>
  </si>
  <si>
    <t>Textures/Chara/Chara082</t>
  </si>
  <si>
    <t>Textures/Chara/Chara083</t>
  </si>
  <si>
    <t>Textures/Chara/Chara084</t>
  </si>
  <si>
    <t>Textures/Chara/Chara085</t>
  </si>
  <si>
    <t>Textures/Chara/Chara086</t>
  </si>
  <si>
    <t>Textures/Chara/Chara087</t>
  </si>
  <si>
    <t>Textures/Chara/Chara088</t>
  </si>
  <si>
    <t>Textures/Chara/Chara089</t>
  </si>
  <si>
    <t>Textures/Chara/Chara090</t>
  </si>
  <si>
    <t>Textures/Chara/Chara091</t>
  </si>
  <si>
    <t>Textures/Chara/Chara092</t>
  </si>
  <si>
    <t>Textures/Chara/Chara093</t>
  </si>
  <si>
    <t>Textures/Chara/Chara094</t>
  </si>
  <si>
    <t>Textures/Chara/Chara095</t>
  </si>
  <si>
    <t>Textures/Chara/Chara096</t>
  </si>
  <si>
    <t>Textures/Chara/Chara097</t>
  </si>
  <si>
    <t>Textures/Chara/Chara098</t>
  </si>
  <si>
    <t>Textures/Chara/Chara099</t>
  </si>
  <si>
    <t>Textures/Chara/Chara100</t>
  </si>
  <si>
    <t>Textures/Chara/Chara101</t>
  </si>
  <si>
    <t>Textures/Chara/Chara102</t>
  </si>
  <si>
    <t>Textures/Chara/Chara103</t>
  </si>
  <si>
    <t>Textures/Chara/Chara104</t>
  </si>
  <si>
    <t>Textures/Chara/Chara105</t>
  </si>
  <si>
    <t>Textures/Chara/Chara106</t>
  </si>
  <si>
    <t>Textures/Chara/Chara107</t>
  </si>
  <si>
    <t>Textures/Chara/Chara108</t>
  </si>
  <si>
    <t>Textures/Chara/Chara109</t>
  </si>
  <si>
    <t>Textures/Chara/Chara110</t>
  </si>
  <si>
    <t>Textures/Chara/Chara111</t>
  </si>
  <si>
    <t>Textures/Chara/Chara112</t>
  </si>
  <si>
    <t>Textures/Chara/Chara113</t>
  </si>
  <si>
    <t>Textures/Chara/Chara114</t>
  </si>
  <si>
    <t>Textures/Chara/Chara115</t>
  </si>
  <si>
    <t>Textures/Chara/Chara116</t>
  </si>
  <si>
    <t>Textures/Chara/Chara117</t>
  </si>
  <si>
    <t>Textures/Chara/Chara118</t>
  </si>
  <si>
    <t>Textures/Chara/Chara119</t>
  </si>
  <si>
    <t>Textures/Chara/Chara120</t>
  </si>
  <si>
    <t>Textures/Chara/Chara121</t>
  </si>
  <si>
    <t>Textures/Chara/Chara122</t>
  </si>
  <si>
    <t>Textures/Chara/Chara123</t>
  </si>
  <si>
    <t>Textures/Chara/Chara124</t>
  </si>
  <si>
    <t>Textures/Chara/Chara125</t>
  </si>
  <si>
    <t>Textures/Chara/Chara126</t>
  </si>
  <si>
    <t>Textures/Chara/Chara127</t>
  </si>
  <si>
    <t>Textures/Chara/Chara128</t>
  </si>
  <si>
    <t>Textures/Chara/Chara129</t>
  </si>
  <si>
    <t>Textures/Chara/Chara130</t>
  </si>
  <si>
    <t>Textures/Chara/Chara131</t>
  </si>
  <si>
    <t>Textures/Chara/Chara132</t>
  </si>
  <si>
    <t>Textures/Chara/Chara133</t>
  </si>
  <si>
    <t>Textures/Chara/Chara134</t>
  </si>
  <si>
    <t>Textures/Chara/Chara135</t>
  </si>
  <si>
    <t>Textures/Chara/Chara136</t>
  </si>
  <si>
    <t>Textures/Chara/Chara137</t>
  </si>
  <si>
    <t>Textures/Chara/Chara138</t>
  </si>
  <si>
    <t>Textures/Chara/Chara139</t>
  </si>
  <si>
    <t>Textures/Chara/Chara140</t>
  </si>
  <si>
    <t>Textures/Chara/Chara141</t>
  </si>
  <si>
    <t>Textures/Chara/Chara142</t>
  </si>
  <si>
    <t>Textures/Chara/Chara143</t>
  </si>
  <si>
    <t>Textures/Chara/Chara144</t>
  </si>
  <si>
    <t>Textures/Chara/Chara145</t>
  </si>
  <si>
    <t>Textures/Chara/Chara146</t>
  </si>
  <si>
    <t>Textures/Chara/Chara147</t>
  </si>
  <si>
    <t>Textures/Chara/Chara148</t>
  </si>
  <si>
    <t>Textures/Chara/Chara149</t>
  </si>
  <si>
    <t>Textures/Chara/Chara150</t>
  </si>
  <si>
    <t>Textures/Chara/Chara151</t>
  </si>
  <si>
    <t>Textures/Chara/Chara152</t>
  </si>
  <si>
    <t>Textures/Chara/Chara153</t>
  </si>
  <si>
    <t>Textures/Chara/Chara154</t>
  </si>
  <si>
    <t>Textures/Chara/Chara155</t>
  </si>
  <si>
    <t>Textures/Chara/Chara156</t>
  </si>
  <si>
    <t>Textures/Chara/Chara157</t>
  </si>
  <si>
    <t>Textures/Chara/Chara158</t>
  </si>
  <si>
    <t>Textures/Chara/Chara159</t>
  </si>
  <si>
    <t>Textures/Chara/Chara160</t>
  </si>
  <si>
    <t>Textures/Chara/Chara161</t>
  </si>
  <si>
    <t>Textures/Chara/Chara162</t>
  </si>
  <si>
    <t>Textures/Chara/Chara163</t>
  </si>
  <si>
    <t>Textures/Chara/Chara164</t>
  </si>
  <si>
    <t>Textures/Chara/Chara165</t>
  </si>
  <si>
    <t>Textures/Chara/Chara166</t>
  </si>
  <si>
    <t>Textures/Chara/Chara167</t>
  </si>
  <si>
    <t>Textures/Chara/Chara168</t>
  </si>
  <si>
    <t>Textures/Chara/Chara169</t>
  </si>
  <si>
    <t>Textures/Chara/Chara170</t>
  </si>
  <si>
    <t>Textures/Chara/Chara171</t>
  </si>
  <si>
    <t>Textures/Chara/Chara172</t>
  </si>
  <si>
    <t>Textures/Chara/Chara173</t>
  </si>
  <si>
    <t>Textures/Chara/Chara174</t>
  </si>
  <si>
    <t>Textures/Chara/Chara175</t>
  </si>
  <si>
    <t>Textures/Chara/Chara176</t>
  </si>
  <si>
    <t>Textures/Chara/Chara177</t>
  </si>
  <si>
    <t>Textures/Chara/Chara178</t>
  </si>
  <si>
    <t>Textures/Chara/Chara179</t>
  </si>
  <si>
    <t>Textures/Chara/Chara180</t>
  </si>
  <si>
    <t>Textures/Chara/Chara181</t>
  </si>
  <si>
    <t>Textures/Chara/Chara182</t>
  </si>
  <si>
    <t>Textures/Chara/Chara183</t>
  </si>
  <si>
    <t>Textures/Chara/Chara184</t>
  </si>
  <si>
    <t>Textures/Chara/Chara185</t>
  </si>
  <si>
    <t>Textures/Chara/Chara186</t>
  </si>
  <si>
    <t>Textures/Chara/Chara187</t>
  </si>
  <si>
    <t>Textures/Chara/Chara188</t>
  </si>
  <si>
    <t>Textures/Chara/Chara189</t>
  </si>
  <si>
    <t>Textures/Chara/Chara190</t>
  </si>
  <si>
    <t>Textures/Chara/Chara191</t>
  </si>
  <si>
    <t>Textures/Chara/Chara192</t>
  </si>
  <si>
    <t>Textures/Chara/Chara193</t>
  </si>
  <si>
    <t>Textures/Chara/Chara194</t>
  </si>
  <si>
    <t>Textures/Chara/Chara195</t>
  </si>
  <si>
    <t>Textures/Chara/Chara196</t>
  </si>
  <si>
    <t>Textures/Chara/Chara197</t>
  </si>
  <si>
    <t>Textures/Chara/Chara198</t>
  </si>
  <si>
    <t>Textures/Chara/Chara199</t>
  </si>
  <si>
    <t>Textures/Chara/Chara205</t>
  </si>
  <si>
    <t>Textures/Chara/Chara206</t>
  </si>
  <si>
    <t>Textures/Chara/Chara207</t>
  </si>
  <si>
    <t>Textures/Chara/Chara208</t>
  </si>
  <si>
    <t>Textures/Chara/Chara209</t>
  </si>
  <si>
    <t>Textures/Chara/Chara210</t>
  </si>
  <si>
    <t>Textures/Chara/Chara211</t>
  </si>
  <si>
    <t>Textures/Chara/Chara212</t>
  </si>
  <si>
    <t>Textures/Chara/Chara213</t>
  </si>
  <si>
    <t>Textures/Chara/Chara214</t>
  </si>
  <si>
    <t>Textures/Chara/Chara215</t>
  </si>
  <si>
    <t>Textures/Chara/Chara216</t>
  </si>
  <si>
    <t>Textures/Chara/Chara217</t>
  </si>
  <si>
    <t>Textures/Chara/Chara218</t>
  </si>
  <si>
    <t>Textures/Chara/Chara219</t>
  </si>
  <si>
    <t>Textures/Chara/Chara220</t>
  </si>
  <si>
    <t>Textures/Chara/Chara221</t>
  </si>
  <si>
    <t>Textures/Chara/Chara222</t>
  </si>
  <si>
    <t>Textures/Chara/Chara223</t>
  </si>
  <si>
    <t>Textures/Chara/Chara224</t>
  </si>
  <si>
    <t>Textures/Chara/Chara225</t>
  </si>
  <si>
    <t>Textures/Chara/Chara226</t>
  </si>
  <si>
    <t>Textures/Chara/Chara227</t>
  </si>
  <si>
    <t>Textures/Chara/Chara228</t>
  </si>
  <si>
    <t>Textures/Chara/Chara229</t>
  </si>
  <si>
    <t>Textures/Chara/Chara230</t>
  </si>
  <si>
    <t>Textures/Chara/Chara231</t>
  </si>
  <si>
    <t>Textures/Chara/Chara232</t>
  </si>
  <si>
    <t>Textures/Chara/Chara233</t>
  </si>
  <si>
    <t>Textures/Chara/Chara234</t>
  </si>
  <si>
    <t>Textures/Chara/Chara235</t>
  </si>
  <si>
    <t>Textures/Chara/Chara236</t>
  </si>
  <si>
    <t>Textures/Chara/Chara237</t>
  </si>
  <si>
    <t>Textures/Chara/Chara238</t>
  </si>
  <si>
    <t>Textures/Chara/Chara239</t>
  </si>
  <si>
    <t>Textures/Chara/Chara240</t>
  </si>
  <si>
    <t>Textures/Chara/Chara241</t>
  </si>
  <si>
    <t>Textures/Chara/Chara242</t>
  </si>
  <si>
    <t>Textures/Chara/Chara243</t>
  </si>
  <si>
    <t>Textures/Chara/Chara244</t>
  </si>
  <si>
    <t>Textures/Chara/Chara245</t>
  </si>
  <si>
    <t>Textures/Chara/Chara246</t>
  </si>
  <si>
    <t>Textures/Chara/Chara247</t>
  </si>
  <si>
    <t>Textures/Chara/Chara248</t>
  </si>
  <si>
    <t>Textures/Chara/Chara249</t>
  </si>
  <si>
    <t>Textures/Chara/Chara250</t>
  </si>
  <si>
    <t>Textures/Chara/Chara251</t>
  </si>
  <si>
    <t>Textures/Chara/Chara252</t>
  </si>
  <si>
    <t>Textures/Chara/Chara253</t>
  </si>
  <si>
    <t>Textures/Chara/Chara254</t>
  </si>
  <si>
    <t>Textures/Chara/Chara255</t>
  </si>
  <si>
    <t>Textures/Chara/Chara256</t>
  </si>
  <si>
    <t>Textures/Chara/Chara257</t>
  </si>
  <si>
    <t>Textures/Chara/Chara258</t>
  </si>
  <si>
    <t>Textures/Chara/Chara259</t>
  </si>
  <si>
    <t>Textures/Chara/Chara260</t>
  </si>
  <si>
    <t>Textures/Chara/Chara261</t>
  </si>
  <si>
    <t>Textures/Chara/Chara262</t>
  </si>
  <si>
    <t>Textures/Chara/Chara263</t>
  </si>
  <si>
    <t>Textures/Chara/Chara264</t>
  </si>
  <si>
    <t>Textures/Chara/Chara265</t>
  </si>
  <si>
    <t>Textures/Chara/Chara266</t>
  </si>
  <si>
    <t>Textures/Chara/Chara267</t>
  </si>
  <si>
    <t>Textures/Chara/Chara268</t>
  </si>
  <si>
    <t>Textures/Chara/Chara269</t>
  </si>
  <si>
    <t>Textures/Chara/Chara270</t>
  </si>
  <si>
    <t>Textures/Chara/Chara271</t>
  </si>
  <si>
    <t>Textures/Chara/Chara272</t>
  </si>
  <si>
    <t>Textures/Chara/Chara273</t>
  </si>
  <si>
    <t>Textures/Chara/Chara274</t>
  </si>
  <si>
    <t>Textures/Chara/Chara275</t>
  </si>
  <si>
    <t>Textures/Chara/Chara276</t>
  </si>
  <si>
    <t>Textures/Chara/Chara277</t>
  </si>
  <si>
    <t>Textures/Chara/Chara278</t>
  </si>
  <si>
    <t>Textures/Chara/Chara279</t>
  </si>
  <si>
    <t>Textures/Chara/Chara280</t>
  </si>
  <si>
    <t>Textures/Chara/Chara281</t>
  </si>
  <si>
    <t>Textures/Chara/Chara282</t>
  </si>
  <si>
    <t>Textures/Chara/Chara283</t>
  </si>
  <si>
    <t>Textures/Chara/Chara284</t>
  </si>
  <si>
    <t>Textures/Chara/Chara285</t>
  </si>
  <si>
    <t>Textures/Chara/Chara286</t>
  </si>
  <si>
    <t>Textures/Chara/Chara287</t>
  </si>
  <si>
    <t>Textures/Chara/Chara288</t>
  </si>
  <si>
    <t>Textures/Chara/Chara289</t>
  </si>
  <si>
    <t>Textures/Chara/Chara290</t>
  </si>
  <si>
    <t>Textures/Chara/Chara291</t>
  </si>
  <si>
    <t>Textures/Chara/Chara292</t>
  </si>
  <si>
    <t>Textures/Chara/Chara293</t>
  </si>
  <si>
    <t>Textures/Chara/Chara294</t>
  </si>
  <si>
    <t>Textures/Chara/Chara295</t>
  </si>
  <si>
    <t>Textures/Chara/Chara296</t>
  </si>
  <si>
    <t>Textures/Chara/Chara297</t>
  </si>
  <si>
    <t>Textures/Chara/Chara298</t>
  </si>
  <si>
    <t>Textures/Chara/Chara299</t>
  </si>
  <si>
    <t>Textures/Chara/Chara300</t>
  </si>
  <si>
    <t>Textures/Chara/Chara301</t>
  </si>
  <si>
    <t>HP</t>
    <phoneticPr fontId="1"/>
  </si>
  <si>
    <t>物理攻撃</t>
    <rPh sb="0" eb="4">
      <t>ブツリコウゲキ</t>
    </rPh>
    <phoneticPr fontId="1"/>
  </si>
  <si>
    <t>物理防御</t>
    <rPh sb="0" eb="4">
      <t>ブツリボウギョ</t>
    </rPh>
    <phoneticPr fontId="1"/>
  </si>
  <si>
    <t>魔法攻撃</t>
    <rPh sb="0" eb="4">
      <t>マホウコウゲキ</t>
    </rPh>
    <phoneticPr fontId="1"/>
  </si>
  <si>
    <t>魔法防御</t>
    <rPh sb="0" eb="4">
      <t>マホウボウギョ</t>
    </rPh>
    <phoneticPr fontId="1"/>
  </si>
  <si>
    <t>レア度</t>
    <rPh sb="2" eb="3">
      <t>ド</t>
    </rPh>
    <phoneticPr fontId="1"/>
  </si>
  <si>
    <t>Textures/Enemy/Enemy000</t>
    <phoneticPr fontId="1"/>
  </si>
  <si>
    <t>Textures/Enemy/Enemy001</t>
    <phoneticPr fontId="1"/>
  </si>
  <si>
    <t>Textures/Enemy/Enemy002</t>
    <phoneticPr fontId="1"/>
  </si>
  <si>
    <t>Textures/Enemy/Enemy003</t>
    <phoneticPr fontId="1"/>
  </si>
  <si>
    <t>Textures/Enemy/Enemy004</t>
    <phoneticPr fontId="1"/>
  </si>
  <si>
    <t>エフェクトデータ</t>
    <phoneticPr fontId="1"/>
  </si>
  <si>
    <t>スキルタイプ</t>
    <phoneticPr fontId="1"/>
  </si>
  <si>
    <t>スキルタイプ</t>
    <phoneticPr fontId="1"/>
  </si>
  <si>
    <t>自分</t>
    <rPh sb="0" eb="2">
      <t>ジブン</t>
    </rPh>
    <phoneticPr fontId="1"/>
  </si>
  <si>
    <t>味方</t>
    <rPh sb="0" eb="2">
      <t>ミカタ</t>
    </rPh>
    <phoneticPr fontId="1"/>
  </si>
  <si>
    <t>敵</t>
    <rPh sb="0" eb="1">
      <t>テキ</t>
    </rPh>
    <phoneticPr fontId="1"/>
  </si>
  <si>
    <t>ターゲットタイプ</t>
    <phoneticPr fontId="1"/>
  </si>
  <si>
    <t>ダメージ</t>
    <phoneticPr fontId="1"/>
  </si>
  <si>
    <t>回復</t>
    <rPh sb="0" eb="2">
      <t>カイフク</t>
    </rPh>
    <phoneticPr fontId="1"/>
  </si>
  <si>
    <t>ターゲットタイプ</t>
    <phoneticPr fontId="1"/>
  </si>
  <si>
    <t>スキル属性</t>
    <rPh sb="3" eb="5">
      <t>ゾクセイ</t>
    </rPh>
    <phoneticPr fontId="1"/>
  </si>
  <si>
    <t>クールダウン[ms]</t>
    <phoneticPr fontId="1"/>
  </si>
  <si>
    <t>無_物理</t>
    <rPh sb="0" eb="1">
      <t>ナ</t>
    </rPh>
    <rPh sb="2" eb="4">
      <t>ブツリ</t>
    </rPh>
    <phoneticPr fontId="1"/>
  </si>
  <si>
    <t>無_魔法</t>
    <rPh sb="0" eb="1">
      <t>ナ</t>
    </rPh>
    <rPh sb="2" eb="4">
      <t>マホウ</t>
    </rPh>
    <phoneticPr fontId="1"/>
  </si>
  <si>
    <t>スキル属性</t>
    <rPh sb="3" eb="5">
      <t>ゾクセイ</t>
    </rPh>
    <phoneticPr fontId="1"/>
  </si>
  <si>
    <t>スキルタイプ
参照データのため
手動変更不可</t>
    <phoneticPr fontId="1"/>
  </si>
  <si>
    <t>スキル属性
参照データのため
手動変更不可</t>
    <rPh sb="3" eb="5">
      <t>ゾクセイ</t>
    </rPh>
    <phoneticPr fontId="1"/>
  </si>
  <si>
    <t>スキル効率[%]</t>
    <rPh sb="3" eb="5">
      <t>コウリツ</t>
    </rPh>
    <phoneticPr fontId="1"/>
  </si>
  <si>
    <t>ターゲットタイプ
参照データのため
手動変更不可</t>
    <phoneticPr fontId="1"/>
  </si>
  <si>
    <t>秒間効率
参照データのため
手動変更不可
0～1000の間で調整</t>
    <rPh sb="0" eb="1">
      <t>ビョウ</t>
    </rPh>
    <rPh sb="1" eb="2">
      <t>アイダ</t>
    </rPh>
    <rPh sb="2" eb="4">
      <t>コウリツ</t>
    </rPh>
    <rPh sb="28" eb="29">
      <t>アイダ</t>
    </rPh>
    <rPh sb="30" eb="32">
      <t>チョウセイ</t>
    </rPh>
    <phoneticPr fontId="1"/>
  </si>
  <si>
    <t>バリア</t>
    <phoneticPr fontId="1"/>
  </si>
  <si>
    <t>スキル1ID</t>
    <phoneticPr fontId="1"/>
  </si>
  <si>
    <t>スキル2ID</t>
    <phoneticPr fontId="1"/>
  </si>
  <si>
    <t>スキル名称
参照データのため
手動変更不可</t>
    <phoneticPr fontId="1"/>
  </si>
  <si>
    <t>Prefabs/Effects/Jo_Myo_dangan</t>
    <phoneticPr fontId="1"/>
  </si>
  <si>
    <t>Prefabs/Effects/EnemyAttack001</t>
    <phoneticPr fontId="1"/>
  </si>
  <si>
    <t>Prefabs/Effects/Thicara_mizuteppou</t>
    <phoneticPr fontId="1"/>
  </si>
  <si>
    <t>Prefabs/Effects/EnemyAttack002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</si>
</sst>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11"/>
      <color theme="1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0" fillId="0" borderId="0" xfId="0" applyFill="1"/>
    <xf numFmtId="0" fontId="0" fillId="2" borderId="0" xfId="0" applyFill="1" applyAlignment="1">
      <alignment wrapText="1"/>
    </xf>
    <xf numFmtId="0" fontId="0" fillId="2" borderId="0" xfId="0" applyFont="1" applyFill="1" applyAlignment="1">
      <alignment wrapText="1"/>
    </xf>
    <xf numFmtId="0" fontId="3" fillId="2" borderId="0" xfId="0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314325</xdr:colOff>
          <xdr:row>4</xdr:row>
          <xdr:rowOff>57150</xdr:rowOff>
        </xdr:from>
        <xdr:to>
          <xdr:col>16</xdr:col>
          <xdr:colOff>619125</xdr:colOff>
          <xdr:row>7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テキストデータ出力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428625</xdr:colOff>
          <xdr:row>4</xdr:row>
          <xdr:rowOff>133350</xdr:rowOff>
        </xdr:from>
        <xdr:to>
          <xdr:col>17</xdr:col>
          <xdr:colOff>47625</xdr:colOff>
          <xdr:row>7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テキストデータ出力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aName"/>
      <sheetName val="Skill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　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　陽一</v>
          </cell>
        </row>
        <row r="6">
          <cell r="A6">
            <v>4</v>
          </cell>
          <cell r="B6" t="str">
            <v>茶釜　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　波奈</v>
          </cell>
        </row>
        <row r="16">
          <cell r="A16">
            <v>14</v>
          </cell>
          <cell r="B16" t="str">
            <v>フィオラ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  <cell r="B202" t="str">
            <v>敵無効データ</v>
          </cell>
        </row>
        <row r="203">
          <cell r="A203">
            <v>201</v>
          </cell>
          <cell r="B203" t="str">
            <v>ハクロ</v>
          </cell>
        </row>
        <row r="204">
          <cell r="A204">
            <v>202</v>
          </cell>
          <cell r="B204" t="str">
            <v>ブックハンド</v>
          </cell>
        </row>
        <row r="205">
          <cell r="A205">
            <v>203</v>
          </cell>
          <cell r="B205" t="str">
            <v>オステオン</v>
          </cell>
        </row>
        <row r="206">
          <cell r="A206">
            <v>204</v>
          </cell>
          <cell r="B206" t="str">
            <v>ターボ・タロ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  <cell r="B302" t="str">
            <v>上杉　摩謙勇</v>
          </cell>
        </row>
        <row r="303">
          <cell r="A303">
            <v>301</v>
          </cell>
          <cell r="B303" t="str">
            <v>けだま</v>
          </cell>
        </row>
      </sheetData>
      <sheetData sheetId="1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　傘夏スキル１</v>
          </cell>
        </row>
        <row r="4">
          <cell r="A4">
            <v>2</v>
          </cell>
          <cell r="B4" t="str">
            <v>空条　傘夏スキル２</v>
          </cell>
        </row>
        <row r="5">
          <cell r="A5">
            <v>3</v>
          </cell>
          <cell r="B5" t="str">
            <v>八海さんスキル１</v>
          </cell>
        </row>
        <row r="6">
          <cell r="A6">
            <v>4</v>
          </cell>
          <cell r="B6" t="str">
            <v>八海さんスキル２</v>
          </cell>
        </row>
        <row r="7">
          <cell r="A7">
            <v>5</v>
          </cell>
          <cell r="B7" t="str">
            <v>鈴木　陽一スキル１</v>
          </cell>
        </row>
        <row r="8">
          <cell r="A8">
            <v>6</v>
          </cell>
          <cell r="B8" t="str">
            <v>鈴木　陽一スキル２</v>
          </cell>
        </row>
        <row r="9">
          <cell r="A9">
            <v>7</v>
          </cell>
          <cell r="B9" t="str">
            <v>茶釜　つぶきスキル１</v>
          </cell>
        </row>
        <row r="10">
          <cell r="A10">
            <v>8</v>
          </cell>
          <cell r="B10" t="str">
            <v>茶釜　つぶきスキル２</v>
          </cell>
        </row>
        <row r="11">
          <cell r="A11">
            <v>9</v>
          </cell>
          <cell r="B11" t="str">
            <v>ジョー＆ミョーの仲良しチャンネルスキル１</v>
          </cell>
        </row>
        <row r="12">
          <cell r="A12">
            <v>10</v>
          </cell>
          <cell r="B12" t="str">
            <v>ジョー＆ミョーの仲良しチャンネルスキル２</v>
          </cell>
        </row>
        <row r="13">
          <cell r="A13">
            <v>11</v>
          </cell>
          <cell r="B13" t="str">
            <v>ティカラスキル１</v>
          </cell>
        </row>
        <row r="14">
          <cell r="A14">
            <v>12</v>
          </cell>
          <cell r="B14" t="str">
            <v>ティカラスキル２</v>
          </cell>
        </row>
        <row r="15">
          <cell r="A15">
            <v>13</v>
          </cell>
          <cell r="B15" t="str">
            <v>さけっぷりんスキル１</v>
          </cell>
        </row>
        <row r="16">
          <cell r="A16">
            <v>14</v>
          </cell>
          <cell r="B16" t="str">
            <v>さけっぷりんスキル２</v>
          </cell>
        </row>
        <row r="17">
          <cell r="A17">
            <v>15</v>
          </cell>
          <cell r="B17" t="str">
            <v>桜守スキル１</v>
          </cell>
        </row>
        <row r="18">
          <cell r="A18">
            <v>16</v>
          </cell>
          <cell r="B18" t="str">
            <v>桜守スキル２</v>
          </cell>
        </row>
        <row r="19">
          <cell r="A19">
            <v>17</v>
          </cell>
          <cell r="B19" t="str">
            <v>紅の華魚スキル１</v>
          </cell>
        </row>
        <row r="20">
          <cell r="A20">
            <v>18</v>
          </cell>
          <cell r="B20" t="str">
            <v>紅の華魚スキル２</v>
          </cell>
        </row>
        <row r="21">
          <cell r="A21">
            <v>19</v>
          </cell>
          <cell r="B21" t="str">
            <v>澄水神スキル１</v>
          </cell>
        </row>
        <row r="22">
          <cell r="A22">
            <v>20</v>
          </cell>
          <cell r="B22" t="str">
            <v>澄水神スキル２</v>
          </cell>
        </row>
        <row r="23">
          <cell r="A23">
            <v>21</v>
          </cell>
          <cell r="B23" t="str">
            <v>春日山の兵スキル１</v>
          </cell>
        </row>
        <row r="24">
          <cell r="A24">
            <v>22</v>
          </cell>
          <cell r="B24" t="str">
            <v>春日山の兵スキル２</v>
          </cell>
        </row>
        <row r="25">
          <cell r="A25">
            <v>23</v>
          </cell>
          <cell r="B25" t="str">
            <v>リリアンスキル１</v>
          </cell>
        </row>
        <row r="26">
          <cell r="A26">
            <v>24</v>
          </cell>
          <cell r="B26" t="str">
            <v>リリアンスキル２</v>
          </cell>
        </row>
        <row r="27">
          <cell r="A27">
            <v>25</v>
          </cell>
          <cell r="B27" t="str">
            <v>小嶋　波奈スキル１</v>
          </cell>
        </row>
        <row r="28">
          <cell r="A28">
            <v>26</v>
          </cell>
          <cell r="B28" t="str">
            <v>小嶋　波奈スキル２</v>
          </cell>
        </row>
        <row r="29">
          <cell r="A29">
            <v>27</v>
          </cell>
          <cell r="B29" t="str">
            <v>フィオラスキル１</v>
          </cell>
        </row>
        <row r="30">
          <cell r="A30">
            <v>28</v>
          </cell>
          <cell r="B30" t="str">
            <v>フィオラスキル２</v>
          </cell>
        </row>
        <row r="31">
          <cell r="A31">
            <v>29</v>
          </cell>
          <cell r="B31" t="str">
            <v>ハクロスキル１</v>
          </cell>
        </row>
        <row r="32">
          <cell r="A32">
            <v>30</v>
          </cell>
          <cell r="B32" t="str">
            <v>ハクロスキル２</v>
          </cell>
        </row>
        <row r="33">
          <cell r="A33">
            <v>31</v>
          </cell>
          <cell r="B33" t="str">
            <v>ブックハンドスキル１</v>
          </cell>
        </row>
        <row r="34">
          <cell r="A34">
            <v>32</v>
          </cell>
          <cell r="B34" t="str">
            <v>ブックハンドスキル２</v>
          </cell>
        </row>
        <row r="35">
          <cell r="A35">
            <v>33</v>
          </cell>
          <cell r="B35" t="str">
            <v>オステオンスキル１</v>
          </cell>
        </row>
        <row r="36">
          <cell r="A36">
            <v>34</v>
          </cell>
          <cell r="B36" t="str">
            <v>オステオンスキル２</v>
          </cell>
        </row>
        <row r="37">
          <cell r="A37">
            <v>35</v>
          </cell>
          <cell r="B37" t="str">
            <v>ターボ・タロスキル１</v>
          </cell>
        </row>
        <row r="38">
          <cell r="A38">
            <v>36</v>
          </cell>
          <cell r="B38" t="str">
            <v>ターボ・タロスキル２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3"/>
  <sheetViews>
    <sheetView workbookViewId="0">
      <selection activeCell="A29" sqref="A29"/>
    </sheetView>
  </sheetViews>
  <sheetFormatPr defaultRowHeight="18.75"/>
  <cols>
    <col min="1" max="1" width="33.625" style="1" customWidth="1"/>
    <col min="3" max="3" width="27.5" customWidth="1"/>
    <col min="4" max="4" width="8" customWidth="1"/>
    <col min="5" max="5" width="7.875" customWidth="1"/>
    <col min="11" max="11" width="21.25" style="5" customWidth="1"/>
    <col min="13" max="13" width="21.25" style="5" customWidth="1"/>
  </cols>
  <sheetData>
    <row r="1" spans="1:13" ht="56.25">
      <c r="A1" s="1" t="s">
        <v>2</v>
      </c>
      <c r="B1" t="s">
        <v>0</v>
      </c>
      <c r="C1" t="s">
        <v>1</v>
      </c>
      <c r="D1" t="s">
        <v>305</v>
      </c>
      <c r="E1" t="s">
        <v>300</v>
      </c>
      <c r="F1" t="s">
        <v>301</v>
      </c>
      <c r="G1" t="s">
        <v>302</v>
      </c>
      <c r="H1" t="s">
        <v>303</v>
      </c>
      <c r="I1" t="s">
        <v>304</v>
      </c>
      <c r="J1" t="s">
        <v>332</v>
      </c>
      <c r="K1" s="4" t="s">
        <v>334</v>
      </c>
      <c r="L1" t="s">
        <v>333</v>
      </c>
      <c r="M1" s="4" t="s">
        <v>334</v>
      </c>
    </row>
    <row r="2" spans="1:13">
      <c r="A2" s="1" t="str">
        <f>VLOOKUP(B2,[1]CharaName!$A:$B,2,FALSE)</f>
        <v>無効</v>
      </c>
      <c r="B2">
        <v>0</v>
      </c>
      <c r="C2" t="s">
        <v>3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 s="5" t="str">
        <f>VLOOKUP(J2,[1]SkillName!$A:$B,2,FALSE)</f>
        <v>無効</v>
      </c>
      <c r="L2">
        <v>0</v>
      </c>
      <c r="M2" s="5" t="str">
        <f>VLOOKUP(L2,[1]SkillName!$A:$B,2,FALSE)</f>
        <v>無効</v>
      </c>
    </row>
    <row r="3" spans="1:13">
      <c r="A3" s="1" t="str">
        <f>VLOOKUP(B3,[1]CharaName!$A:$B,2,FALSE)</f>
        <v>空条　傘夏</v>
      </c>
      <c r="B3">
        <v>1</v>
      </c>
      <c r="C3" t="s">
        <v>4</v>
      </c>
      <c r="D3">
        <v>0</v>
      </c>
      <c r="E3">
        <v>1000</v>
      </c>
      <c r="F3">
        <v>10</v>
      </c>
      <c r="G3">
        <v>10</v>
      </c>
      <c r="H3">
        <v>10</v>
      </c>
      <c r="I3">
        <v>10</v>
      </c>
      <c r="J3">
        <v>1</v>
      </c>
      <c r="K3" s="5" t="str">
        <f>VLOOKUP(J3,[1]SkillName!$A:$B,2,FALSE)</f>
        <v>空条　傘夏スキル１</v>
      </c>
      <c r="L3">
        <v>2</v>
      </c>
      <c r="M3" s="5" t="str">
        <f>VLOOKUP(L3,[1]SkillName!$A:$B,2,FALSE)</f>
        <v>空条　傘夏スキル２</v>
      </c>
    </row>
    <row r="4" spans="1:13">
      <c r="A4" s="1" t="str">
        <f>VLOOKUP(B4,[1]CharaName!$A:$B,2,FALSE)</f>
        <v>八海さん</v>
      </c>
      <c r="B4">
        <v>2</v>
      </c>
      <c r="C4" t="s">
        <v>5</v>
      </c>
      <c r="D4">
        <v>0</v>
      </c>
      <c r="E4">
        <v>1000</v>
      </c>
      <c r="F4">
        <v>10</v>
      </c>
      <c r="G4">
        <v>10</v>
      </c>
      <c r="H4">
        <v>10</v>
      </c>
      <c r="I4">
        <v>10</v>
      </c>
      <c r="J4">
        <v>3</v>
      </c>
      <c r="K4" s="5" t="str">
        <f>VLOOKUP(J4,[1]SkillName!$A:$B,2,FALSE)</f>
        <v>八海さんスキル１</v>
      </c>
      <c r="L4">
        <v>4</v>
      </c>
      <c r="M4" s="5" t="str">
        <f>VLOOKUP(L4,[1]SkillName!$A:$B,2,FALSE)</f>
        <v>八海さんスキル２</v>
      </c>
    </row>
    <row r="5" spans="1:13">
      <c r="A5" s="1" t="str">
        <f>VLOOKUP(B5,[1]CharaName!$A:$B,2,FALSE)</f>
        <v>鈴木　陽一</v>
      </c>
      <c r="B5">
        <v>3</v>
      </c>
      <c r="C5" t="s">
        <v>6</v>
      </c>
      <c r="D5">
        <v>0</v>
      </c>
      <c r="E5">
        <v>1000</v>
      </c>
      <c r="F5">
        <v>10</v>
      </c>
      <c r="G5">
        <v>10</v>
      </c>
      <c r="H5">
        <v>10</v>
      </c>
      <c r="I5">
        <v>10</v>
      </c>
      <c r="J5">
        <v>5</v>
      </c>
      <c r="K5" s="5" t="str">
        <f>VLOOKUP(J5,[1]SkillName!$A:$B,2,FALSE)</f>
        <v>鈴木　陽一スキル１</v>
      </c>
      <c r="L5">
        <v>6</v>
      </c>
      <c r="M5" s="5" t="str">
        <f>VLOOKUP(L5,[1]SkillName!$A:$B,2,FALSE)</f>
        <v>鈴木　陽一スキル２</v>
      </c>
    </row>
    <row r="6" spans="1:13">
      <c r="A6" s="1" t="str">
        <f>VLOOKUP(B6,[1]CharaName!$A:$B,2,FALSE)</f>
        <v>茶釜　つぶき</v>
      </c>
      <c r="B6">
        <v>4</v>
      </c>
      <c r="C6" t="s">
        <v>7</v>
      </c>
      <c r="D6">
        <v>1</v>
      </c>
      <c r="E6">
        <v>1000</v>
      </c>
      <c r="F6">
        <v>10</v>
      </c>
      <c r="G6">
        <v>10</v>
      </c>
      <c r="H6">
        <v>10</v>
      </c>
      <c r="I6">
        <v>10</v>
      </c>
      <c r="J6">
        <v>7</v>
      </c>
      <c r="K6" s="5" t="str">
        <f>VLOOKUP(J6,[1]SkillName!$A:$B,2,FALSE)</f>
        <v>茶釜　つぶきスキル１</v>
      </c>
      <c r="L6">
        <v>8</v>
      </c>
      <c r="M6" s="5" t="str">
        <f>VLOOKUP(L6,[1]SkillName!$A:$B,2,FALSE)</f>
        <v>茶釜　つぶきスキル２</v>
      </c>
    </row>
    <row r="7" spans="1:13">
      <c r="A7" s="1" t="str">
        <f>VLOOKUP(B7,[1]CharaName!$A:$B,2,FALSE)</f>
        <v>ジョー＆ミョーの仲良しチャンネル</v>
      </c>
      <c r="B7">
        <v>5</v>
      </c>
      <c r="C7" t="s">
        <v>8</v>
      </c>
      <c r="D7">
        <v>2</v>
      </c>
      <c r="E7">
        <v>1000</v>
      </c>
      <c r="F7">
        <v>10</v>
      </c>
      <c r="G7">
        <v>10</v>
      </c>
      <c r="H7">
        <v>10</v>
      </c>
      <c r="I7">
        <v>10</v>
      </c>
      <c r="J7">
        <v>9</v>
      </c>
      <c r="K7" s="5" t="str">
        <f>VLOOKUP(J7,[1]SkillName!$A:$B,2,FALSE)</f>
        <v>ジョー＆ミョーの仲良しチャンネルスキル１</v>
      </c>
      <c r="L7">
        <v>10</v>
      </c>
      <c r="M7" s="5" t="str">
        <f>VLOOKUP(L7,[1]SkillName!$A:$B,2,FALSE)</f>
        <v>ジョー＆ミョーの仲良しチャンネルスキル２</v>
      </c>
    </row>
    <row r="8" spans="1:13">
      <c r="A8" s="1" t="str">
        <f>VLOOKUP(B8,[1]CharaName!$A:$B,2,FALSE)</f>
        <v>ティカラ</v>
      </c>
      <c r="B8">
        <v>6</v>
      </c>
      <c r="C8" t="s">
        <v>9</v>
      </c>
      <c r="D8">
        <v>0</v>
      </c>
      <c r="E8">
        <v>1000</v>
      </c>
      <c r="F8">
        <v>10</v>
      </c>
      <c r="G8">
        <v>10</v>
      </c>
      <c r="H8">
        <v>10</v>
      </c>
      <c r="I8">
        <v>10</v>
      </c>
      <c r="J8">
        <v>11</v>
      </c>
      <c r="K8" s="5" t="str">
        <f>VLOOKUP(J8,[1]SkillName!$A:$B,2,FALSE)</f>
        <v>ティカラスキル１</v>
      </c>
      <c r="L8">
        <v>12</v>
      </c>
      <c r="M8" s="5" t="str">
        <f>VLOOKUP(L8,[1]SkillName!$A:$B,2,FALSE)</f>
        <v>ティカラスキル２</v>
      </c>
    </row>
    <row r="9" spans="1:13">
      <c r="A9" s="1" t="str">
        <f>VLOOKUP(B9,[1]CharaName!$A:$B,2,FALSE)</f>
        <v>さけっぷりん</v>
      </c>
      <c r="B9">
        <v>7</v>
      </c>
      <c r="C9" t="s">
        <v>10</v>
      </c>
      <c r="D9">
        <v>0</v>
      </c>
      <c r="E9">
        <v>1000</v>
      </c>
      <c r="F9">
        <v>10</v>
      </c>
      <c r="G9">
        <v>10</v>
      </c>
      <c r="H9">
        <v>10</v>
      </c>
      <c r="I9">
        <v>10</v>
      </c>
      <c r="J9">
        <v>13</v>
      </c>
      <c r="K9" s="5" t="str">
        <f>VLOOKUP(J9,[1]SkillName!$A:$B,2,FALSE)</f>
        <v>さけっぷりんスキル１</v>
      </c>
      <c r="L9">
        <v>14</v>
      </c>
      <c r="M9" s="5" t="str">
        <f>VLOOKUP(L9,[1]SkillName!$A:$B,2,FALSE)</f>
        <v>さけっぷりんスキル２</v>
      </c>
    </row>
    <row r="10" spans="1:13">
      <c r="A10" s="1" t="str">
        <f>VLOOKUP(B10,[1]CharaName!$A:$B,2,FALSE)</f>
        <v>桜守</v>
      </c>
      <c r="B10">
        <v>8</v>
      </c>
      <c r="C10" t="s">
        <v>11</v>
      </c>
      <c r="D10">
        <v>0</v>
      </c>
      <c r="E10">
        <v>1000</v>
      </c>
      <c r="F10">
        <v>10</v>
      </c>
      <c r="G10">
        <v>10</v>
      </c>
      <c r="H10">
        <v>10</v>
      </c>
      <c r="I10">
        <v>10</v>
      </c>
      <c r="J10">
        <v>15</v>
      </c>
      <c r="K10" s="5" t="str">
        <f>VLOOKUP(J10,[1]SkillName!$A:$B,2,FALSE)</f>
        <v>桜守スキル１</v>
      </c>
      <c r="L10">
        <v>16</v>
      </c>
      <c r="M10" s="5" t="str">
        <f>VLOOKUP(L10,[1]SkillName!$A:$B,2,FALSE)</f>
        <v>桜守スキル２</v>
      </c>
    </row>
    <row r="11" spans="1:13">
      <c r="A11" s="1" t="str">
        <f>VLOOKUP(B11,[1]CharaName!$A:$B,2,FALSE)</f>
        <v>紅の華魚</v>
      </c>
      <c r="B11">
        <v>9</v>
      </c>
      <c r="C11" t="s">
        <v>12</v>
      </c>
      <c r="D11">
        <v>1</v>
      </c>
      <c r="E11">
        <v>1000</v>
      </c>
      <c r="F11">
        <v>10</v>
      </c>
      <c r="G11">
        <v>10</v>
      </c>
      <c r="H11">
        <v>10</v>
      </c>
      <c r="I11">
        <v>10</v>
      </c>
      <c r="J11">
        <v>17</v>
      </c>
      <c r="K11" s="5" t="str">
        <f>VLOOKUP(J11,[1]SkillName!$A:$B,2,FALSE)</f>
        <v>紅の華魚スキル１</v>
      </c>
      <c r="L11">
        <v>18</v>
      </c>
      <c r="M11" s="5" t="str">
        <f>VLOOKUP(L11,[1]SkillName!$A:$B,2,FALSE)</f>
        <v>紅の華魚スキル２</v>
      </c>
    </row>
    <row r="12" spans="1:13">
      <c r="A12" s="1" t="str">
        <f>VLOOKUP(B12,[1]CharaName!$A:$B,2,FALSE)</f>
        <v>澄水神</v>
      </c>
      <c r="B12">
        <v>10</v>
      </c>
      <c r="C12" t="s">
        <v>13</v>
      </c>
      <c r="D12">
        <v>2</v>
      </c>
      <c r="E12">
        <v>1000</v>
      </c>
      <c r="F12">
        <v>10</v>
      </c>
      <c r="G12">
        <v>10</v>
      </c>
      <c r="H12">
        <v>10</v>
      </c>
      <c r="I12">
        <v>10</v>
      </c>
      <c r="J12">
        <v>19</v>
      </c>
      <c r="K12" s="5" t="str">
        <f>VLOOKUP(J12,[1]SkillName!$A:$B,2,FALSE)</f>
        <v>澄水神スキル１</v>
      </c>
      <c r="L12">
        <v>20</v>
      </c>
      <c r="M12" s="5" t="str">
        <f>VLOOKUP(L12,[1]SkillName!$A:$B,2,FALSE)</f>
        <v>澄水神スキル２</v>
      </c>
    </row>
    <row r="13" spans="1:13">
      <c r="A13" s="1" t="str">
        <f>VLOOKUP(B13,[1]CharaName!$A:$B,2,FALSE)</f>
        <v>春日山の兵</v>
      </c>
      <c r="B13">
        <v>11</v>
      </c>
      <c r="C13" t="s">
        <v>14</v>
      </c>
      <c r="D13">
        <v>0</v>
      </c>
      <c r="E13">
        <v>1000</v>
      </c>
      <c r="F13">
        <v>10</v>
      </c>
      <c r="G13">
        <v>10</v>
      </c>
      <c r="H13">
        <v>10</v>
      </c>
      <c r="I13">
        <v>10</v>
      </c>
      <c r="J13">
        <v>21</v>
      </c>
      <c r="K13" s="5" t="str">
        <f>VLOOKUP(J13,[1]SkillName!$A:$B,2,FALSE)</f>
        <v>春日山の兵スキル１</v>
      </c>
      <c r="L13">
        <v>22</v>
      </c>
      <c r="M13" s="5" t="str">
        <f>VLOOKUP(L13,[1]SkillName!$A:$B,2,FALSE)</f>
        <v>春日山の兵スキル２</v>
      </c>
    </row>
    <row r="14" spans="1:13">
      <c r="A14" s="1" t="str">
        <f>VLOOKUP(B14,[1]CharaName!$A:$B,2,FALSE)</f>
        <v>リリアン</v>
      </c>
      <c r="B14">
        <v>12</v>
      </c>
      <c r="C14" t="s">
        <v>15</v>
      </c>
      <c r="D14">
        <v>0</v>
      </c>
      <c r="E14">
        <v>1000</v>
      </c>
      <c r="F14">
        <v>10</v>
      </c>
      <c r="G14">
        <v>10</v>
      </c>
      <c r="H14">
        <v>10</v>
      </c>
      <c r="I14">
        <v>10</v>
      </c>
      <c r="J14">
        <v>23</v>
      </c>
      <c r="K14" s="5" t="str">
        <f>VLOOKUP(J14,[1]SkillName!$A:$B,2,FALSE)</f>
        <v>リリアンスキル１</v>
      </c>
      <c r="L14">
        <v>24</v>
      </c>
      <c r="M14" s="5" t="str">
        <f>VLOOKUP(L14,[1]SkillName!$A:$B,2,FALSE)</f>
        <v>リリアンスキル２</v>
      </c>
    </row>
    <row r="15" spans="1:13">
      <c r="A15" s="1" t="str">
        <f>VLOOKUP(B15,[1]CharaName!$A:$B,2,FALSE)</f>
        <v>小嶋　波奈</v>
      </c>
      <c r="B15">
        <v>13</v>
      </c>
      <c r="C15" t="s">
        <v>16</v>
      </c>
      <c r="D15">
        <v>0</v>
      </c>
      <c r="E15">
        <v>1000</v>
      </c>
      <c r="F15">
        <v>10</v>
      </c>
      <c r="G15">
        <v>10</v>
      </c>
      <c r="H15">
        <v>10</v>
      </c>
      <c r="I15">
        <v>10</v>
      </c>
      <c r="J15">
        <v>25</v>
      </c>
      <c r="K15" s="5" t="str">
        <f>VLOOKUP(J15,[1]SkillName!$A:$B,2,FALSE)</f>
        <v>小嶋　波奈スキル１</v>
      </c>
      <c r="L15">
        <v>26</v>
      </c>
      <c r="M15" s="5" t="str">
        <f>VLOOKUP(L15,[1]SkillName!$A:$B,2,FALSE)</f>
        <v>小嶋　波奈スキル２</v>
      </c>
    </row>
    <row r="16" spans="1:13">
      <c r="A16" s="1" t="str">
        <f>VLOOKUP(B16,[1]CharaName!$A:$B,2,FALSE)</f>
        <v>フィオラ</v>
      </c>
      <c r="B16">
        <v>14</v>
      </c>
      <c r="C16" t="s">
        <v>17</v>
      </c>
      <c r="D16">
        <v>1</v>
      </c>
      <c r="E16">
        <v>1000</v>
      </c>
      <c r="F16">
        <v>10</v>
      </c>
      <c r="G16">
        <v>10</v>
      </c>
      <c r="H16">
        <v>10</v>
      </c>
      <c r="I16">
        <v>10</v>
      </c>
      <c r="J16">
        <v>27</v>
      </c>
      <c r="K16" s="5" t="str">
        <f>VLOOKUP(J16,[1]SkillName!$A:$B,2,FALSE)</f>
        <v>フィオラスキル１</v>
      </c>
      <c r="L16">
        <v>28</v>
      </c>
      <c r="M16" s="5" t="str">
        <f>VLOOKUP(L16,[1]SkillName!$A:$B,2,FALSE)</f>
        <v>フィオラスキル２</v>
      </c>
    </row>
    <row r="17" spans="1:13">
      <c r="A17" s="1">
        <f>VLOOKUP(B17,[1]CharaName!$A:$B,2,FALSE)</f>
        <v>0</v>
      </c>
      <c r="B17">
        <v>15</v>
      </c>
      <c r="C17" t="s">
        <v>18</v>
      </c>
      <c r="D17">
        <v>0</v>
      </c>
      <c r="E17">
        <v>100</v>
      </c>
      <c r="F17">
        <v>10</v>
      </c>
      <c r="G17">
        <v>10</v>
      </c>
      <c r="H17">
        <v>10</v>
      </c>
      <c r="I17">
        <v>10</v>
      </c>
      <c r="J17">
        <v>0</v>
      </c>
      <c r="K17" s="5" t="str">
        <f>VLOOKUP(J17,[1]SkillName!$A:$B,2,FALSE)</f>
        <v>無効</v>
      </c>
      <c r="L17">
        <v>0</v>
      </c>
      <c r="M17" s="5" t="str">
        <f>VLOOKUP(L17,[1]SkillName!$A:$B,2,FALSE)</f>
        <v>無効</v>
      </c>
    </row>
    <row r="18" spans="1:13">
      <c r="A18" s="1">
        <f>VLOOKUP(B18,[1]CharaName!$A:$B,2,FALSE)</f>
        <v>0</v>
      </c>
      <c r="B18">
        <v>16</v>
      </c>
      <c r="C18" t="s">
        <v>19</v>
      </c>
      <c r="D18">
        <v>0</v>
      </c>
      <c r="E18">
        <v>100</v>
      </c>
      <c r="F18">
        <v>10</v>
      </c>
      <c r="G18">
        <v>10</v>
      </c>
      <c r="H18">
        <v>10</v>
      </c>
      <c r="I18">
        <v>10</v>
      </c>
      <c r="J18">
        <v>0</v>
      </c>
      <c r="K18" s="5" t="str">
        <f>VLOOKUP(J18,[1]SkillName!$A:$B,2,FALSE)</f>
        <v>無効</v>
      </c>
      <c r="L18">
        <v>0</v>
      </c>
      <c r="M18" s="5" t="str">
        <f>VLOOKUP(L18,[1]SkillName!$A:$B,2,FALSE)</f>
        <v>無効</v>
      </c>
    </row>
    <row r="19" spans="1:13">
      <c r="A19" s="1">
        <f>VLOOKUP(B19,[1]CharaName!$A:$B,2,FALSE)</f>
        <v>0</v>
      </c>
      <c r="B19">
        <v>17</v>
      </c>
      <c r="C19" t="s">
        <v>20</v>
      </c>
      <c r="D19">
        <v>0</v>
      </c>
      <c r="E19">
        <v>100</v>
      </c>
      <c r="F19">
        <v>10</v>
      </c>
      <c r="G19">
        <v>10</v>
      </c>
      <c r="H19">
        <v>10</v>
      </c>
      <c r="I19">
        <v>10</v>
      </c>
      <c r="J19">
        <v>0</v>
      </c>
      <c r="K19" s="5" t="str">
        <f>VLOOKUP(J19,[1]SkillName!$A:$B,2,FALSE)</f>
        <v>無効</v>
      </c>
      <c r="L19">
        <v>0</v>
      </c>
      <c r="M19" s="5" t="str">
        <f>VLOOKUP(L19,[1]SkillName!$A:$B,2,FALSE)</f>
        <v>無効</v>
      </c>
    </row>
    <row r="20" spans="1:13">
      <c r="A20" s="1">
        <f>VLOOKUP(B20,[1]CharaName!$A:$B,2,FALSE)</f>
        <v>0</v>
      </c>
      <c r="B20">
        <v>18</v>
      </c>
      <c r="C20" t="s">
        <v>21</v>
      </c>
      <c r="D20">
        <v>0</v>
      </c>
      <c r="E20">
        <v>100</v>
      </c>
      <c r="F20">
        <v>10</v>
      </c>
      <c r="G20">
        <v>10</v>
      </c>
      <c r="H20">
        <v>10</v>
      </c>
      <c r="I20">
        <v>10</v>
      </c>
      <c r="J20">
        <v>0</v>
      </c>
      <c r="K20" s="5" t="str">
        <f>VLOOKUP(J20,[1]SkillName!$A:$B,2,FALSE)</f>
        <v>無効</v>
      </c>
      <c r="L20">
        <v>0</v>
      </c>
      <c r="M20" s="5" t="str">
        <f>VLOOKUP(L20,[1]SkillName!$A:$B,2,FALSE)</f>
        <v>無効</v>
      </c>
    </row>
    <row r="21" spans="1:13">
      <c r="A21" s="1">
        <f>VLOOKUP(B21,[1]CharaName!$A:$B,2,FALSE)</f>
        <v>0</v>
      </c>
      <c r="B21">
        <v>19</v>
      </c>
      <c r="C21" t="s">
        <v>22</v>
      </c>
      <c r="D21">
        <v>0</v>
      </c>
      <c r="E21">
        <v>100</v>
      </c>
      <c r="F21">
        <v>10</v>
      </c>
      <c r="G21">
        <v>10</v>
      </c>
      <c r="H21">
        <v>10</v>
      </c>
      <c r="I21">
        <v>10</v>
      </c>
      <c r="J21">
        <v>0</v>
      </c>
      <c r="K21" s="5" t="str">
        <f>VLOOKUP(J21,[1]SkillName!$A:$B,2,FALSE)</f>
        <v>無効</v>
      </c>
      <c r="L21">
        <v>0</v>
      </c>
      <c r="M21" s="5" t="str">
        <f>VLOOKUP(L21,[1]SkillName!$A:$B,2,FALSE)</f>
        <v>無効</v>
      </c>
    </row>
    <row r="22" spans="1:13">
      <c r="A22" s="1">
        <f>VLOOKUP(B22,[1]CharaName!$A:$B,2,FALSE)</f>
        <v>0</v>
      </c>
      <c r="B22">
        <v>20</v>
      </c>
      <c r="C22" t="s">
        <v>23</v>
      </c>
      <c r="D22">
        <v>0</v>
      </c>
      <c r="E22">
        <v>100</v>
      </c>
      <c r="F22">
        <v>10</v>
      </c>
      <c r="G22">
        <v>10</v>
      </c>
      <c r="H22">
        <v>10</v>
      </c>
      <c r="I22">
        <v>10</v>
      </c>
      <c r="J22">
        <v>0</v>
      </c>
      <c r="K22" s="5" t="str">
        <f>VLOOKUP(J22,[1]SkillName!$A:$B,2,FALSE)</f>
        <v>無効</v>
      </c>
      <c r="L22">
        <v>0</v>
      </c>
      <c r="M22" s="5" t="str">
        <f>VLOOKUP(L22,[1]SkillName!$A:$B,2,FALSE)</f>
        <v>無効</v>
      </c>
    </row>
    <row r="23" spans="1:13">
      <c r="A23" s="1">
        <f>VLOOKUP(B23,[1]CharaName!$A:$B,2,FALSE)</f>
        <v>0</v>
      </c>
      <c r="B23">
        <v>21</v>
      </c>
      <c r="C23" t="s">
        <v>24</v>
      </c>
      <c r="D23">
        <v>0</v>
      </c>
      <c r="E23">
        <v>100</v>
      </c>
      <c r="F23">
        <v>10</v>
      </c>
      <c r="G23">
        <v>10</v>
      </c>
      <c r="H23">
        <v>10</v>
      </c>
      <c r="I23">
        <v>10</v>
      </c>
      <c r="J23">
        <v>0</v>
      </c>
      <c r="K23" s="5" t="str">
        <f>VLOOKUP(J23,[1]SkillName!$A:$B,2,FALSE)</f>
        <v>無効</v>
      </c>
      <c r="L23">
        <v>0</v>
      </c>
      <c r="M23" s="5" t="str">
        <f>VLOOKUP(L23,[1]SkillName!$A:$B,2,FALSE)</f>
        <v>無効</v>
      </c>
    </row>
    <row r="24" spans="1:13">
      <c r="A24" s="1">
        <f>VLOOKUP(B24,[1]CharaName!$A:$B,2,FALSE)</f>
        <v>0</v>
      </c>
      <c r="B24">
        <v>22</v>
      </c>
      <c r="C24" t="s">
        <v>25</v>
      </c>
      <c r="D24">
        <v>0</v>
      </c>
      <c r="E24">
        <v>100</v>
      </c>
      <c r="F24">
        <v>10</v>
      </c>
      <c r="G24">
        <v>10</v>
      </c>
      <c r="H24">
        <v>10</v>
      </c>
      <c r="I24">
        <v>10</v>
      </c>
      <c r="J24">
        <v>0</v>
      </c>
      <c r="K24" s="5" t="str">
        <f>VLOOKUP(J24,[1]SkillName!$A:$B,2,FALSE)</f>
        <v>無効</v>
      </c>
      <c r="L24">
        <v>0</v>
      </c>
      <c r="M24" s="5" t="str">
        <f>VLOOKUP(L24,[1]SkillName!$A:$B,2,FALSE)</f>
        <v>無効</v>
      </c>
    </row>
    <row r="25" spans="1:13">
      <c r="A25" s="1">
        <f>VLOOKUP(B25,[1]CharaName!$A:$B,2,FALSE)</f>
        <v>0</v>
      </c>
      <c r="B25">
        <v>23</v>
      </c>
      <c r="C25" t="s">
        <v>26</v>
      </c>
      <c r="D25">
        <v>0</v>
      </c>
      <c r="E25">
        <v>100</v>
      </c>
      <c r="F25">
        <v>10</v>
      </c>
      <c r="G25">
        <v>10</v>
      </c>
      <c r="H25">
        <v>10</v>
      </c>
      <c r="I25">
        <v>10</v>
      </c>
      <c r="J25">
        <v>0</v>
      </c>
      <c r="K25" s="5" t="str">
        <f>VLOOKUP(J25,[1]SkillName!$A:$B,2,FALSE)</f>
        <v>無効</v>
      </c>
      <c r="L25">
        <v>0</v>
      </c>
      <c r="M25" s="5" t="str">
        <f>VLOOKUP(L25,[1]SkillName!$A:$B,2,FALSE)</f>
        <v>無効</v>
      </c>
    </row>
    <row r="26" spans="1:13">
      <c r="A26" s="1">
        <f>VLOOKUP(B26,[1]CharaName!$A:$B,2,FALSE)</f>
        <v>0</v>
      </c>
      <c r="B26">
        <v>24</v>
      </c>
      <c r="C26" t="s">
        <v>27</v>
      </c>
      <c r="D26">
        <v>0</v>
      </c>
      <c r="E26">
        <v>100</v>
      </c>
      <c r="F26">
        <v>10</v>
      </c>
      <c r="G26">
        <v>10</v>
      </c>
      <c r="H26">
        <v>10</v>
      </c>
      <c r="I26">
        <v>10</v>
      </c>
      <c r="J26">
        <v>0</v>
      </c>
      <c r="K26" s="5" t="str">
        <f>VLOOKUP(J26,[1]SkillName!$A:$B,2,FALSE)</f>
        <v>無効</v>
      </c>
      <c r="L26">
        <v>0</v>
      </c>
      <c r="M26" s="5" t="str">
        <f>VLOOKUP(L26,[1]SkillName!$A:$B,2,FALSE)</f>
        <v>無効</v>
      </c>
    </row>
    <row r="27" spans="1:13">
      <c r="A27" s="1">
        <f>VLOOKUP(B27,[1]CharaName!$A:$B,2,FALSE)</f>
        <v>0</v>
      </c>
      <c r="B27">
        <v>25</v>
      </c>
      <c r="C27" t="s">
        <v>28</v>
      </c>
      <c r="D27">
        <v>0</v>
      </c>
      <c r="E27">
        <v>100</v>
      </c>
      <c r="F27">
        <v>10</v>
      </c>
      <c r="G27">
        <v>10</v>
      </c>
      <c r="H27">
        <v>10</v>
      </c>
      <c r="I27">
        <v>10</v>
      </c>
      <c r="J27">
        <v>0</v>
      </c>
      <c r="K27" s="5" t="str">
        <f>VLOOKUP(J27,[1]SkillName!$A:$B,2,FALSE)</f>
        <v>無効</v>
      </c>
      <c r="L27">
        <v>0</v>
      </c>
      <c r="M27" s="5" t="str">
        <f>VLOOKUP(L27,[1]SkillName!$A:$B,2,FALSE)</f>
        <v>無効</v>
      </c>
    </row>
    <row r="28" spans="1:13">
      <c r="A28" s="1">
        <f>VLOOKUP(B28,[1]CharaName!$A:$B,2,FALSE)</f>
        <v>0</v>
      </c>
      <c r="B28">
        <v>26</v>
      </c>
      <c r="C28" t="s">
        <v>29</v>
      </c>
      <c r="D28">
        <v>0</v>
      </c>
      <c r="E28">
        <v>100</v>
      </c>
      <c r="F28">
        <v>10</v>
      </c>
      <c r="G28">
        <v>10</v>
      </c>
      <c r="H28">
        <v>10</v>
      </c>
      <c r="I28">
        <v>10</v>
      </c>
      <c r="J28">
        <v>0</v>
      </c>
      <c r="K28" s="5" t="str">
        <f>VLOOKUP(J28,[1]SkillName!$A:$B,2,FALSE)</f>
        <v>無効</v>
      </c>
      <c r="L28">
        <v>0</v>
      </c>
      <c r="M28" s="5" t="str">
        <f>VLOOKUP(L28,[1]SkillName!$A:$B,2,FALSE)</f>
        <v>無効</v>
      </c>
    </row>
    <row r="29" spans="1:13">
      <c r="A29" s="1">
        <f>VLOOKUP(B29,[1]CharaName!$A:$B,2,FALSE)</f>
        <v>0</v>
      </c>
      <c r="B29">
        <v>27</v>
      </c>
      <c r="C29" t="s">
        <v>30</v>
      </c>
      <c r="D29">
        <v>0</v>
      </c>
      <c r="E29">
        <v>100</v>
      </c>
      <c r="F29">
        <v>10</v>
      </c>
      <c r="G29">
        <v>10</v>
      </c>
      <c r="H29">
        <v>10</v>
      </c>
      <c r="I29">
        <v>10</v>
      </c>
      <c r="J29">
        <v>0</v>
      </c>
      <c r="K29" s="5" t="str">
        <f>VLOOKUP(J29,[1]SkillName!$A:$B,2,FALSE)</f>
        <v>無効</v>
      </c>
      <c r="L29">
        <v>0</v>
      </c>
      <c r="M29" s="5" t="str">
        <f>VLOOKUP(L29,[1]SkillName!$A:$B,2,FALSE)</f>
        <v>無効</v>
      </c>
    </row>
    <row r="30" spans="1:13">
      <c r="A30" s="1">
        <f>VLOOKUP(B30,[1]CharaName!$A:$B,2,FALSE)</f>
        <v>0</v>
      </c>
      <c r="B30">
        <v>28</v>
      </c>
      <c r="C30" t="s">
        <v>31</v>
      </c>
      <c r="D30">
        <v>0</v>
      </c>
      <c r="E30">
        <v>100</v>
      </c>
      <c r="F30">
        <v>10</v>
      </c>
      <c r="G30">
        <v>10</v>
      </c>
      <c r="H30">
        <v>10</v>
      </c>
      <c r="I30">
        <v>10</v>
      </c>
      <c r="J30">
        <v>0</v>
      </c>
      <c r="K30" s="5" t="str">
        <f>VLOOKUP(J30,[1]SkillName!$A:$B,2,FALSE)</f>
        <v>無効</v>
      </c>
      <c r="L30">
        <v>0</v>
      </c>
      <c r="M30" s="5" t="str">
        <f>VLOOKUP(L30,[1]SkillName!$A:$B,2,FALSE)</f>
        <v>無効</v>
      </c>
    </row>
    <row r="31" spans="1:13">
      <c r="A31" s="1">
        <f>VLOOKUP(B31,[1]CharaName!$A:$B,2,FALSE)</f>
        <v>0</v>
      </c>
      <c r="B31">
        <v>29</v>
      </c>
      <c r="C31" t="s">
        <v>32</v>
      </c>
      <c r="D31">
        <v>0</v>
      </c>
      <c r="E31">
        <v>100</v>
      </c>
      <c r="F31">
        <v>10</v>
      </c>
      <c r="G31">
        <v>10</v>
      </c>
      <c r="H31">
        <v>10</v>
      </c>
      <c r="I31">
        <v>10</v>
      </c>
      <c r="J31">
        <v>0</v>
      </c>
      <c r="K31" s="5" t="str">
        <f>VLOOKUP(J31,[1]SkillName!$A:$B,2,FALSE)</f>
        <v>無効</v>
      </c>
      <c r="L31">
        <v>0</v>
      </c>
      <c r="M31" s="5" t="str">
        <f>VLOOKUP(L31,[1]SkillName!$A:$B,2,FALSE)</f>
        <v>無効</v>
      </c>
    </row>
    <row r="32" spans="1:13">
      <c r="A32" s="1">
        <f>VLOOKUP(B32,[1]CharaName!$A:$B,2,FALSE)</f>
        <v>0</v>
      </c>
      <c r="B32">
        <v>30</v>
      </c>
      <c r="C32" t="s">
        <v>33</v>
      </c>
      <c r="D32">
        <v>0</v>
      </c>
      <c r="E32">
        <v>100</v>
      </c>
      <c r="F32">
        <v>10</v>
      </c>
      <c r="G32">
        <v>10</v>
      </c>
      <c r="H32">
        <v>10</v>
      </c>
      <c r="I32">
        <v>10</v>
      </c>
      <c r="J32">
        <v>0</v>
      </c>
      <c r="K32" s="5" t="str">
        <f>VLOOKUP(J32,[1]SkillName!$A:$B,2,FALSE)</f>
        <v>無効</v>
      </c>
      <c r="L32">
        <v>0</v>
      </c>
      <c r="M32" s="5" t="str">
        <f>VLOOKUP(L32,[1]SkillName!$A:$B,2,FALSE)</f>
        <v>無効</v>
      </c>
    </row>
    <row r="33" spans="1:13">
      <c r="A33" s="1">
        <f>VLOOKUP(B33,[1]CharaName!$A:$B,2,FALSE)</f>
        <v>0</v>
      </c>
      <c r="B33">
        <v>31</v>
      </c>
      <c r="C33" t="s">
        <v>34</v>
      </c>
      <c r="D33">
        <v>0</v>
      </c>
      <c r="E33">
        <v>100</v>
      </c>
      <c r="F33">
        <v>10</v>
      </c>
      <c r="G33">
        <v>10</v>
      </c>
      <c r="H33">
        <v>10</v>
      </c>
      <c r="I33">
        <v>10</v>
      </c>
      <c r="J33">
        <v>0</v>
      </c>
      <c r="K33" s="5" t="str">
        <f>VLOOKUP(J33,[1]SkillName!$A:$B,2,FALSE)</f>
        <v>無効</v>
      </c>
      <c r="L33">
        <v>0</v>
      </c>
      <c r="M33" s="5" t="str">
        <f>VLOOKUP(L33,[1]SkillName!$A:$B,2,FALSE)</f>
        <v>無効</v>
      </c>
    </row>
    <row r="34" spans="1:13">
      <c r="A34" s="1">
        <f>VLOOKUP(B34,[1]CharaName!$A:$B,2,FALSE)</f>
        <v>0</v>
      </c>
      <c r="B34">
        <v>32</v>
      </c>
      <c r="C34" t="s">
        <v>35</v>
      </c>
      <c r="D34">
        <v>0</v>
      </c>
      <c r="E34">
        <v>100</v>
      </c>
      <c r="F34">
        <v>10</v>
      </c>
      <c r="G34">
        <v>10</v>
      </c>
      <c r="H34">
        <v>10</v>
      </c>
      <c r="I34">
        <v>10</v>
      </c>
      <c r="J34">
        <v>0</v>
      </c>
      <c r="K34" s="5" t="str">
        <f>VLOOKUP(J34,[1]SkillName!$A:$B,2,FALSE)</f>
        <v>無効</v>
      </c>
      <c r="L34">
        <v>0</v>
      </c>
      <c r="M34" s="5" t="str">
        <f>VLOOKUP(L34,[1]SkillName!$A:$B,2,FALSE)</f>
        <v>無効</v>
      </c>
    </row>
    <row r="35" spans="1:13">
      <c r="A35" s="1">
        <f>VLOOKUP(B35,[1]CharaName!$A:$B,2,FALSE)</f>
        <v>0</v>
      </c>
      <c r="B35">
        <v>33</v>
      </c>
      <c r="C35" t="s">
        <v>36</v>
      </c>
      <c r="D35">
        <v>0</v>
      </c>
      <c r="E35">
        <v>100</v>
      </c>
      <c r="F35">
        <v>10</v>
      </c>
      <c r="G35">
        <v>10</v>
      </c>
      <c r="H35">
        <v>10</v>
      </c>
      <c r="I35">
        <v>10</v>
      </c>
      <c r="J35">
        <v>0</v>
      </c>
      <c r="K35" s="5" t="str">
        <f>VLOOKUP(J35,[1]SkillName!$A:$B,2,FALSE)</f>
        <v>無効</v>
      </c>
      <c r="L35">
        <v>0</v>
      </c>
      <c r="M35" s="5" t="str">
        <f>VLOOKUP(L35,[1]SkillName!$A:$B,2,FALSE)</f>
        <v>無効</v>
      </c>
    </row>
    <row r="36" spans="1:13">
      <c r="A36" s="1">
        <f>VLOOKUP(B36,[1]CharaName!$A:$B,2,FALSE)</f>
        <v>0</v>
      </c>
      <c r="B36">
        <v>34</v>
      </c>
      <c r="C36" t="s">
        <v>37</v>
      </c>
      <c r="D36">
        <v>0</v>
      </c>
      <c r="E36">
        <v>100</v>
      </c>
      <c r="F36">
        <v>10</v>
      </c>
      <c r="G36">
        <v>10</v>
      </c>
      <c r="H36">
        <v>10</v>
      </c>
      <c r="I36">
        <v>10</v>
      </c>
      <c r="J36">
        <v>0</v>
      </c>
      <c r="K36" s="5" t="str">
        <f>VLOOKUP(J36,[1]SkillName!$A:$B,2,FALSE)</f>
        <v>無効</v>
      </c>
      <c r="L36">
        <v>0</v>
      </c>
      <c r="M36" s="5" t="str">
        <f>VLOOKUP(L36,[1]SkillName!$A:$B,2,FALSE)</f>
        <v>無効</v>
      </c>
    </row>
    <row r="37" spans="1:13">
      <c r="A37" s="1">
        <f>VLOOKUP(B37,[1]CharaName!$A:$B,2,FALSE)</f>
        <v>0</v>
      </c>
      <c r="B37">
        <v>35</v>
      </c>
      <c r="C37" t="s">
        <v>38</v>
      </c>
      <c r="D37">
        <v>0</v>
      </c>
      <c r="E37">
        <v>100</v>
      </c>
      <c r="F37">
        <v>10</v>
      </c>
      <c r="G37">
        <v>10</v>
      </c>
      <c r="H37">
        <v>10</v>
      </c>
      <c r="I37">
        <v>10</v>
      </c>
      <c r="J37">
        <v>0</v>
      </c>
      <c r="K37" s="5" t="str">
        <f>VLOOKUP(J37,[1]SkillName!$A:$B,2,FALSE)</f>
        <v>無効</v>
      </c>
      <c r="L37">
        <v>0</v>
      </c>
      <c r="M37" s="5" t="str">
        <f>VLOOKUP(L37,[1]SkillName!$A:$B,2,FALSE)</f>
        <v>無効</v>
      </c>
    </row>
    <row r="38" spans="1:13">
      <c r="A38" s="1">
        <f>VLOOKUP(B38,[1]CharaName!$A:$B,2,FALSE)</f>
        <v>0</v>
      </c>
      <c r="B38">
        <v>36</v>
      </c>
      <c r="C38" t="s">
        <v>39</v>
      </c>
      <c r="D38">
        <v>0</v>
      </c>
      <c r="E38">
        <v>100</v>
      </c>
      <c r="F38">
        <v>10</v>
      </c>
      <c r="G38">
        <v>10</v>
      </c>
      <c r="H38">
        <v>10</v>
      </c>
      <c r="I38">
        <v>10</v>
      </c>
      <c r="J38">
        <v>0</v>
      </c>
      <c r="K38" s="5" t="str">
        <f>VLOOKUP(J38,[1]SkillName!$A:$B,2,FALSE)</f>
        <v>無効</v>
      </c>
      <c r="L38">
        <v>0</v>
      </c>
      <c r="M38" s="5" t="str">
        <f>VLOOKUP(L38,[1]SkillName!$A:$B,2,FALSE)</f>
        <v>無効</v>
      </c>
    </row>
    <row r="39" spans="1:13">
      <c r="A39" s="1">
        <f>VLOOKUP(B39,[1]CharaName!$A:$B,2,FALSE)</f>
        <v>0</v>
      </c>
      <c r="B39">
        <v>37</v>
      </c>
      <c r="C39" t="s">
        <v>40</v>
      </c>
      <c r="D39">
        <v>0</v>
      </c>
      <c r="E39">
        <v>100</v>
      </c>
      <c r="F39">
        <v>10</v>
      </c>
      <c r="G39">
        <v>10</v>
      </c>
      <c r="H39">
        <v>10</v>
      </c>
      <c r="I39">
        <v>10</v>
      </c>
      <c r="J39">
        <v>0</v>
      </c>
      <c r="K39" s="5" t="str">
        <f>VLOOKUP(J39,[1]SkillName!$A:$B,2,FALSE)</f>
        <v>無効</v>
      </c>
      <c r="L39">
        <v>0</v>
      </c>
      <c r="M39" s="5" t="str">
        <f>VLOOKUP(L39,[1]SkillName!$A:$B,2,FALSE)</f>
        <v>無効</v>
      </c>
    </row>
    <row r="40" spans="1:13">
      <c r="A40" s="1">
        <f>VLOOKUP(B40,[1]CharaName!$A:$B,2,FALSE)</f>
        <v>0</v>
      </c>
      <c r="B40">
        <v>38</v>
      </c>
      <c r="C40" t="s">
        <v>41</v>
      </c>
      <c r="D40">
        <v>0</v>
      </c>
      <c r="E40">
        <v>100</v>
      </c>
      <c r="F40">
        <v>10</v>
      </c>
      <c r="G40">
        <v>10</v>
      </c>
      <c r="H40">
        <v>10</v>
      </c>
      <c r="I40">
        <v>10</v>
      </c>
      <c r="J40">
        <v>0</v>
      </c>
      <c r="K40" s="5" t="str">
        <f>VLOOKUP(J40,[1]SkillName!$A:$B,2,FALSE)</f>
        <v>無効</v>
      </c>
      <c r="L40">
        <v>0</v>
      </c>
      <c r="M40" s="5" t="str">
        <f>VLOOKUP(L40,[1]SkillName!$A:$B,2,FALSE)</f>
        <v>無効</v>
      </c>
    </row>
    <row r="41" spans="1:13">
      <c r="A41" s="1">
        <f>VLOOKUP(B41,[1]CharaName!$A:$B,2,FALSE)</f>
        <v>0</v>
      </c>
      <c r="B41">
        <v>39</v>
      </c>
      <c r="C41" t="s">
        <v>42</v>
      </c>
      <c r="D41">
        <v>0</v>
      </c>
      <c r="E41">
        <v>100</v>
      </c>
      <c r="F41">
        <v>10</v>
      </c>
      <c r="G41">
        <v>10</v>
      </c>
      <c r="H41">
        <v>10</v>
      </c>
      <c r="I41">
        <v>10</v>
      </c>
      <c r="J41">
        <v>0</v>
      </c>
      <c r="K41" s="5" t="str">
        <f>VLOOKUP(J41,[1]SkillName!$A:$B,2,FALSE)</f>
        <v>無効</v>
      </c>
      <c r="L41">
        <v>0</v>
      </c>
      <c r="M41" s="5" t="str">
        <f>VLOOKUP(L41,[1]SkillName!$A:$B,2,FALSE)</f>
        <v>無効</v>
      </c>
    </row>
    <row r="42" spans="1:13">
      <c r="A42" s="1">
        <f>VLOOKUP(B42,[1]CharaName!$A:$B,2,FALSE)</f>
        <v>0</v>
      </c>
      <c r="B42">
        <v>40</v>
      </c>
      <c r="C42" t="s">
        <v>43</v>
      </c>
      <c r="D42">
        <v>0</v>
      </c>
      <c r="E42">
        <v>100</v>
      </c>
      <c r="F42">
        <v>10</v>
      </c>
      <c r="G42">
        <v>10</v>
      </c>
      <c r="H42">
        <v>10</v>
      </c>
      <c r="I42">
        <v>10</v>
      </c>
      <c r="J42">
        <v>0</v>
      </c>
      <c r="K42" s="5" t="str">
        <f>VLOOKUP(J42,[1]SkillName!$A:$B,2,FALSE)</f>
        <v>無効</v>
      </c>
      <c r="L42">
        <v>0</v>
      </c>
      <c r="M42" s="5" t="str">
        <f>VLOOKUP(L42,[1]SkillName!$A:$B,2,FALSE)</f>
        <v>無効</v>
      </c>
    </row>
    <row r="43" spans="1:13">
      <c r="A43" s="1">
        <f>VLOOKUP(B43,[1]CharaName!$A:$B,2,FALSE)</f>
        <v>0</v>
      </c>
      <c r="B43">
        <v>41</v>
      </c>
      <c r="C43" t="s">
        <v>44</v>
      </c>
      <c r="D43">
        <v>0</v>
      </c>
      <c r="E43">
        <v>100</v>
      </c>
      <c r="F43">
        <v>10</v>
      </c>
      <c r="G43">
        <v>10</v>
      </c>
      <c r="H43">
        <v>10</v>
      </c>
      <c r="I43">
        <v>10</v>
      </c>
      <c r="J43">
        <v>0</v>
      </c>
      <c r="K43" s="5" t="str">
        <f>VLOOKUP(J43,[1]SkillName!$A:$B,2,FALSE)</f>
        <v>無効</v>
      </c>
      <c r="L43">
        <v>0</v>
      </c>
      <c r="M43" s="5" t="str">
        <f>VLOOKUP(L43,[1]SkillName!$A:$B,2,FALSE)</f>
        <v>無効</v>
      </c>
    </row>
    <row r="44" spans="1:13">
      <c r="A44" s="1">
        <f>VLOOKUP(B44,[1]CharaName!$A:$B,2,FALSE)</f>
        <v>0</v>
      </c>
      <c r="B44">
        <v>42</v>
      </c>
      <c r="C44" t="s">
        <v>45</v>
      </c>
      <c r="D44">
        <v>0</v>
      </c>
      <c r="E44">
        <v>100</v>
      </c>
      <c r="F44">
        <v>10</v>
      </c>
      <c r="G44">
        <v>10</v>
      </c>
      <c r="H44">
        <v>10</v>
      </c>
      <c r="I44">
        <v>10</v>
      </c>
      <c r="J44">
        <v>0</v>
      </c>
      <c r="K44" s="5" t="str">
        <f>VLOOKUP(J44,[1]SkillName!$A:$B,2,FALSE)</f>
        <v>無効</v>
      </c>
      <c r="L44">
        <v>0</v>
      </c>
      <c r="M44" s="5" t="str">
        <f>VLOOKUP(L44,[1]SkillName!$A:$B,2,FALSE)</f>
        <v>無効</v>
      </c>
    </row>
    <row r="45" spans="1:13">
      <c r="A45" s="1">
        <f>VLOOKUP(B45,[1]CharaName!$A:$B,2,FALSE)</f>
        <v>0</v>
      </c>
      <c r="B45">
        <v>43</v>
      </c>
      <c r="C45" t="s">
        <v>46</v>
      </c>
      <c r="D45">
        <v>0</v>
      </c>
      <c r="E45">
        <v>100</v>
      </c>
      <c r="F45">
        <v>10</v>
      </c>
      <c r="G45">
        <v>10</v>
      </c>
      <c r="H45">
        <v>10</v>
      </c>
      <c r="I45">
        <v>10</v>
      </c>
      <c r="J45">
        <v>0</v>
      </c>
      <c r="K45" s="5" t="str">
        <f>VLOOKUP(J45,[1]SkillName!$A:$B,2,FALSE)</f>
        <v>無効</v>
      </c>
      <c r="L45">
        <v>0</v>
      </c>
      <c r="M45" s="5" t="str">
        <f>VLOOKUP(L45,[1]SkillName!$A:$B,2,FALSE)</f>
        <v>無効</v>
      </c>
    </row>
    <row r="46" spans="1:13">
      <c r="A46" s="1">
        <f>VLOOKUP(B46,[1]CharaName!$A:$B,2,FALSE)</f>
        <v>0</v>
      </c>
      <c r="B46">
        <v>44</v>
      </c>
      <c r="C46" t="s">
        <v>47</v>
      </c>
      <c r="D46">
        <v>0</v>
      </c>
      <c r="E46">
        <v>100</v>
      </c>
      <c r="F46">
        <v>10</v>
      </c>
      <c r="G46">
        <v>10</v>
      </c>
      <c r="H46">
        <v>10</v>
      </c>
      <c r="I46">
        <v>10</v>
      </c>
      <c r="J46">
        <v>0</v>
      </c>
      <c r="K46" s="5" t="str">
        <f>VLOOKUP(J46,[1]SkillName!$A:$B,2,FALSE)</f>
        <v>無効</v>
      </c>
      <c r="L46">
        <v>0</v>
      </c>
      <c r="M46" s="5" t="str">
        <f>VLOOKUP(L46,[1]SkillName!$A:$B,2,FALSE)</f>
        <v>無効</v>
      </c>
    </row>
    <row r="47" spans="1:13">
      <c r="A47" s="1">
        <f>VLOOKUP(B47,[1]CharaName!$A:$B,2,FALSE)</f>
        <v>0</v>
      </c>
      <c r="B47">
        <v>45</v>
      </c>
      <c r="C47" t="s">
        <v>48</v>
      </c>
      <c r="D47">
        <v>0</v>
      </c>
      <c r="E47">
        <v>100</v>
      </c>
      <c r="F47">
        <v>10</v>
      </c>
      <c r="G47">
        <v>10</v>
      </c>
      <c r="H47">
        <v>10</v>
      </c>
      <c r="I47">
        <v>10</v>
      </c>
      <c r="J47">
        <v>0</v>
      </c>
      <c r="K47" s="5" t="str">
        <f>VLOOKUP(J47,[1]SkillName!$A:$B,2,FALSE)</f>
        <v>無効</v>
      </c>
      <c r="L47">
        <v>0</v>
      </c>
      <c r="M47" s="5" t="str">
        <f>VLOOKUP(L47,[1]SkillName!$A:$B,2,FALSE)</f>
        <v>無効</v>
      </c>
    </row>
    <row r="48" spans="1:13">
      <c r="A48" s="1">
        <f>VLOOKUP(B48,[1]CharaName!$A:$B,2,FALSE)</f>
        <v>0</v>
      </c>
      <c r="B48">
        <v>46</v>
      </c>
      <c r="C48" t="s">
        <v>49</v>
      </c>
      <c r="D48">
        <v>0</v>
      </c>
      <c r="E48">
        <v>100</v>
      </c>
      <c r="F48">
        <v>10</v>
      </c>
      <c r="G48">
        <v>10</v>
      </c>
      <c r="H48">
        <v>10</v>
      </c>
      <c r="I48">
        <v>10</v>
      </c>
      <c r="J48">
        <v>0</v>
      </c>
      <c r="K48" s="5" t="str">
        <f>VLOOKUP(J48,[1]SkillName!$A:$B,2,FALSE)</f>
        <v>無効</v>
      </c>
      <c r="L48">
        <v>0</v>
      </c>
      <c r="M48" s="5" t="str">
        <f>VLOOKUP(L48,[1]SkillName!$A:$B,2,FALSE)</f>
        <v>無効</v>
      </c>
    </row>
    <row r="49" spans="1:13">
      <c r="A49" s="1">
        <f>VLOOKUP(B49,[1]CharaName!$A:$B,2,FALSE)</f>
        <v>0</v>
      </c>
      <c r="B49">
        <v>47</v>
      </c>
      <c r="C49" t="s">
        <v>50</v>
      </c>
      <c r="D49">
        <v>0</v>
      </c>
      <c r="E49">
        <v>100</v>
      </c>
      <c r="F49">
        <v>10</v>
      </c>
      <c r="G49">
        <v>10</v>
      </c>
      <c r="H49">
        <v>10</v>
      </c>
      <c r="I49">
        <v>10</v>
      </c>
      <c r="J49">
        <v>0</v>
      </c>
      <c r="K49" s="5" t="str">
        <f>VLOOKUP(J49,[1]SkillName!$A:$B,2,FALSE)</f>
        <v>無効</v>
      </c>
      <c r="L49">
        <v>0</v>
      </c>
      <c r="M49" s="5" t="str">
        <f>VLOOKUP(L49,[1]SkillName!$A:$B,2,FALSE)</f>
        <v>無効</v>
      </c>
    </row>
    <row r="50" spans="1:13">
      <c r="A50" s="1">
        <f>VLOOKUP(B50,[1]CharaName!$A:$B,2,FALSE)</f>
        <v>0</v>
      </c>
      <c r="B50">
        <v>48</v>
      </c>
      <c r="C50" t="s">
        <v>51</v>
      </c>
      <c r="D50">
        <v>0</v>
      </c>
      <c r="E50">
        <v>100</v>
      </c>
      <c r="F50">
        <v>10</v>
      </c>
      <c r="G50">
        <v>10</v>
      </c>
      <c r="H50">
        <v>10</v>
      </c>
      <c r="I50">
        <v>10</v>
      </c>
      <c r="J50">
        <v>0</v>
      </c>
      <c r="K50" s="5" t="str">
        <f>VLOOKUP(J50,[1]SkillName!$A:$B,2,FALSE)</f>
        <v>無効</v>
      </c>
      <c r="L50">
        <v>0</v>
      </c>
      <c r="M50" s="5" t="str">
        <f>VLOOKUP(L50,[1]SkillName!$A:$B,2,FALSE)</f>
        <v>無効</v>
      </c>
    </row>
    <row r="51" spans="1:13">
      <c r="A51" s="1">
        <f>VLOOKUP(B51,[1]CharaName!$A:$B,2,FALSE)</f>
        <v>0</v>
      </c>
      <c r="B51">
        <v>49</v>
      </c>
      <c r="C51" t="s">
        <v>52</v>
      </c>
      <c r="D51">
        <v>0</v>
      </c>
      <c r="E51">
        <v>100</v>
      </c>
      <c r="F51">
        <v>10</v>
      </c>
      <c r="G51">
        <v>10</v>
      </c>
      <c r="H51">
        <v>10</v>
      </c>
      <c r="I51">
        <v>10</v>
      </c>
      <c r="J51">
        <v>0</v>
      </c>
      <c r="K51" s="5" t="str">
        <f>VLOOKUP(J51,[1]SkillName!$A:$B,2,FALSE)</f>
        <v>無効</v>
      </c>
      <c r="L51">
        <v>0</v>
      </c>
      <c r="M51" s="5" t="str">
        <f>VLOOKUP(L51,[1]SkillName!$A:$B,2,FALSE)</f>
        <v>無効</v>
      </c>
    </row>
    <row r="52" spans="1:13">
      <c r="A52" s="1">
        <f>VLOOKUP(B52,[1]CharaName!$A:$B,2,FALSE)</f>
        <v>0</v>
      </c>
      <c r="B52">
        <v>50</v>
      </c>
      <c r="C52" t="s">
        <v>53</v>
      </c>
      <c r="D52">
        <v>0</v>
      </c>
      <c r="E52">
        <v>100</v>
      </c>
      <c r="F52">
        <v>10</v>
      </c>
      <c r="G52">
        <v>10</v>
      </c>
      <c r="H52">
        <v>10</v>
      </c>
      <c r="I52">
        <v>10</v>
      </c>
      <c r="J52">
        <v>0</v>
      </c>
      <c r="K52" s="5" t="str">
        <f>VLOOKUP(J52,[1]SkillName!$A:$B,2,FALSE)</f>
        <v>無効</v>
      </c>
      <c r="L52">
        <v>0</v>
      </c>
      <c r="M52" s="5" t="str">
        <f>VLOOKUP(L52,[1]SkillName!$A:$B,2,FALSE)</f>
        <v>無効</v>
      </c>
    </row>
    <row r="53" spans="1:13">
      <c r="A53" s="1">
        <f>VLOOKUP(B53,[1]CharaName!$A:$B,2,FALSE)</f>
        <v>0</v>
      </c>
      <c r="B53">
        <v>51</v>
      </c>
      <c r="C53" t="s">
        <v>54</v>
      </c>
      <c r="D53">
        <v>0</v>
      </c>
      <c r="E53">
        <v>100</v>
      </c>
      <c r="F53">
        <v>10</v>
      </c>
      <c r="G53">
        <v>10</v>
      </c>
      <c r="H53">
        <v>10</v>
      </c>
      <c r="I53">
        <v>10</v>
      </c>
      <c r="J53">
        <v>0</v>
      </c>
      <c r="K53" s="5" t="str">
        <f>VLOOKUP(J53,[1]SkillName!$A:$B,2,FALSE)</f>
        <v>無効</v>
      </c>
      <c r="L53">
        <v>0</v>
      </c>
      <c r="M53" s="5" t="str">
        <f>VLOOKUP(L53,[1]SkillName!$A:$B,2,FALSE)</f>
        <v>無効</v>
      </c>
    </row>
    <row r="54" spans="1:13">
      <c r="A54" s="1">
        <f>VLOOKUP(B54,[1]CharaName!$A:$B,2,FALSE)</f>
        <v>0</v>
      </c>
      <c r="B54">
        <v>52</v>
      </c>
      <c r="C54" t="s">
        <v>55</v>
      </c>
      <c r="D54">
        <v>0</v>
      </c>
      <c r="E54">
        <v>100</v>
      </c>
      <c r="F54">
        <v>10</v>
      </c>
      <c r="G54">
        <v>10</v>
      </c>
      <c r="H54">
        <v>10</v>
      </c>
      <c r="I54">
        <v>10</v>
      </c>
      <c r="J54">
        <v>0</v>
      </c>
      <c r="K54" s="5" t="str">
        <f>VLOOKUP(J54,[1]SkillName!$A:$B,2,FALSE)</f>
        <v>無効</v>
      </c>
      <c r="L54">
        <v>0</v>
      </c>
      <c r="M54" s="5" t="str">
        <f>VLOOKUP(L54,[1]SkillName!$A:$B,2,FALSE)</f>
        <v>無効</v>
      </c>
    </row>
    <row r="55" spans="1:13">
      <c r="A55" s="1">
        <f>VLOOKUP(B55,[1]CharaName!$A:$B,2,FALSE)</f>
        <v>0</v>
      </c>
      <c r="B55">
        <v>53</v>
      </c>
      <c r="C55" t="s">
        <v>56</v>
      </c>
      <c r="D55">
        <v>0</v>
      </c>
      <c r="E55">
        <v>100</v>
      </c>
      <c r="F55">
        <v>10</v>
      </c>
      <c r="G55">
        <v>10</v>
      </c>
      <c r="H55">
        <v>10</v>
      </c>
      <c r="I55">
        <v>10</v>
      </c>
      <c r="J55">
        <v>0</v>
      </c>
      <c r="K55" s="5" t="str">
        <f>VLOOKUP(J55,[1]SkillName!$A:$B,2,FALSE)</f>
        <v>無効</v>
      </c>
      <c r="L55">
        <v>0</v>
      </c>
      <c r="M55" s="5" t="str">
        <f>VLOOKUP(L55,[1]SkillName!$A:$B,2,FALSE)</f>
        <v>無効</v>
      </c>
    </row>
    <row r="56" spans="1:13">
      <c r="A56" s="1">
        <f>VLOOKUP(B56,[1]CharaName!$A:$B,2,FALSE)</f>
        <v>0</v>
      </c>
      <c r="B56">
        <v>54</v>
      </c>
      <c r="C56" t="s">
        <v>57</v>
      </c>
      <c r="D56">
        <v>0</v>
      </c>
      <c r="E56">
        <v>100</v>
      </c>
      <c r="F56">
        <v>10</v>
      </c>
      <c r="G56">
        <v>10</v>
      </c>
      <c r="H56">
        <v>10</v>
      </c>
      <c r="I56">
        <v>10</v>
      </c>
      <c r="J56">
        <v>0</v>
      </c>
      <c r="K56" s="5" t="str">
        <f>VLOOKUP(J56,[1]SkillName!$A:$B,2,FALSE)</f>
        <v>無効</v>
      </c>
      <c r="L56">
        <v>0</v>
      </c>
      <c r="M56" s="5" t="str">
        <f>VLOOKUP(L56,[1]SkillName!$A:$B,2,FALSE)</f>
        <v>無効</v>
      </c>
    </row>
    <row r="57" spans="1:13">
      <c r="A57" s="1">
        <f>VLOOKUP(B57,[1]CharaName!$A:$B,2,FALSE)</f>
        <v>0</v>
      </c>
      <c r="B57">
        <v>55</v>
      </c>
      <c r="C57" t="s">
        <v>58</v>
      </c>
      <c r="D57">
        <v>0</v>
      </c>
      <c r="E57">
        <v>100</v>
      </c>
      <c r="F57">
        <v>10</v>
      </c>
      <c r="G57">
        <v>10</v>
      </c>
      <c r="H57">
        <v>10</v>
      </c>
      <c r="I57">
        <v>10</v>
      </c>
      <c r="J57">
        <v>0</v>
      </c>
      <c r="K57" s="5" t="str">
        <f>VLOOKUP(J57,[1]SkillName!$A:$B,2,FALSE)</f>
        <v>無効</v>
      </c>
      <c r="L57">
        <v>0</v>
      </c>
      <c r="M57" s="5" t="str">
        <f>VLOOKUP(L57,[1]SkillName!$A:$B,2,FALSE)</f>
        <v>無効</v>
      </c>
    </row>
    <row r="58" spans="1:13">
      <c r="A58" s="1">
        <f>VLOOKUP(B58,[1]CharaName!$A:$B,2,FALSE)</f>
        <v>0</v>
      </c>
      <c r="B58">
        <v>56</v>
      </c>
      <c r="C58" t="s">
        <v>59</v>
      </c>
      <c r="D58">
        <v>0</v>
      </c>
      <c r="E58">
        <v>100</v>
      </c>
      <c r="F58">
        <v>10</v>
      </c>
      <c r="G58">
        <v>10</v>
      </c>
      <c r="H58">
        <v>10</v>
      </c>
      <c r="I58">
        <v>10</v>
      </c>
      <c r="J58">
        <v>0</v>
      </c>
      <c r="K58" s="5" t="str">
        <f>VLOOKUP(J58,[1]SkillName!$A:$B,2,FALSE)</f>
        <v>無効</v>
      </c>
      <c r="L58">
        <v>0</v>
      </c>
      <c r="M58" s="5" t="str">
        <f>VLOOKUP(L58,[1]SkillName!$A:$B,2,FALSE)</f>
        <v>無効</v>
      </c>
    </row>
    <row r="59" spans="1:13">
      <c r="A59" s="1">
        <f>VLOOKUP(B59,[1]CharaName!$A:$B,2,FALSE)</f>
        <v>0</v>
      </c>
      <c r="B59">
        <v>57</v>
      </c>
      <c r="C59" t="s">
        <v>60</v>
      </c>
      <c r="D59">
        <v>0</v>
      </c>
      <c r="E59">
        <v>100</v>
      </c>
      <c r="F59">
        <v>10</v>
      </c>
      <c r="G59">
        <v>10</v>
      </c>
      <c r="H59">
        <v>10</v>
      </c>
      <c r="I59">
        <v>10</v>
      </c>
      <c r="J59">
        <v>0</v>
      </c>
      <c r="K59" s="5" t="str">
        <f>VLOOKUP(J59,[1]SkillName!$A:$B,2,FALSE)</f>
        <v>無効</v>
      </c>
      <c r="L59">
        <v>0</v>
      </c>
      <c r="M59" s="5" t="str">
        <f>VLOOKUP(L59,[1]SkillName!$A:$B,2,FALSE)</f>
        <v>無効</v>
      </c>
    </row>
    <row r="60" spans="1:13">
      <c r="A60" s="1">
        <f>VLOOKUP(B60,[1]CharaName!$A:$B,2,FALSE)</f>
        <v>0</v>
      </c>
      <c r="B60">
        <v>58</v>
      </c>
      <c r="C60" t="s">
        <v>61</v>
      </c>
      <c r="D60">
        <v>0</v>
      </c>
      <c r="E60">
        <v>100</v>
      </c>
      <c r="F60">
        <v>10</v>
      </c>
      <c r="G60">
        <v>10</v>
      </c>
      <c r="H60">
        <v>10</v>
      </c>
      <c r="I60">
        <v>10</v>
      </c>
      <c r="J60">
        <v>0</v>
      </c>
      <c r="K60" s="5" t="str">
        <f>VLOOKUP(J60,[1]SkillName!$A:$B,2,FALSE)</f>
        <v>無効</v>
      </c>
      <c r="L60">
        <v>0</v>
      </c>
      <c r="M60" s="5" t="str">
        <f>VLOOKUP(L60,[1]SkillName!$A:$B,2,FALSE)</f>
        <v>無効</v>
      </c>
    </row>
    <row r="61" spans="1:13">
      <c r="A61" s="1">
        <f>VLOOKUP(B61,[1]CharaName!$A:$B,2,FALSE)</f>
        <v>0</v>
      </c>
      <c r="B61">
        <v>59</v>
      </c>
      <c r="C61" t="s">
        <v>62</v>
      </c>
      <c r="D61">
        <v>0</v>
      </c>
      <c r="E61">
        <v>100</v>
      </c>
      <c r="F61">
        <v>10</v>
      </c>
      <c r="G61">
        <v>10</v>
      </c>
      <c r="H61">
        <v>10</v>
      </c>
      <c r="I61">
        <v>10</v>
      </c>
      <c r="J61">
        <v>0</v>
      </c>
      <c r="K61" s="5" t="str">
        <f>VLOOKUP(J61,[1]SkillName!$A:$B,2,FALSE)</f>
        <v>無効</v>
      </c>
      <c r="L61">
        <v>0</v>
      </c>
      <c r="M61" s="5" t="str">
        <f>VLOOKUP(L61,[1]SkillName!$A:$B,2,FALSE)</f>
        <v>無効</v>
      </c>
    </row>
    <row r="62" spans="1:13">
      <c r="A62" s="1">
        <f>VLOOKUP(B62,[1]CharaName!$A:$B,2,FALSE)</f>
        <v>0</v>
      </c>
      <c r="B62">
        <v>60</v>
      </c>
      <c r="C62" t="s">
        <v>63</v>
      </c>
      <c r="D62">
        <v>0</v>
      </c>
      <c r="E62">
        <v>100</v>
      </c>
      <c r="F62">
        <v>10</v>
      </c>
      <c r="G62">
        <v>10</v>
      </c>
      <c r="H62">
        <v>10</v>
      </c>
      <c r="I62">
        <v>10</v>
      </c>
      <c r="J62">
        <v>0</v>
      </c>
      <c r="K62" s="5" t="str">
        <f>VLOOKUP(J62,[1]SkillName!$A:$B,2,FALSE)</f>
        <v>無効</v>
      </c>
      <c r="L62">
        <v>0</v>
      </c>
      <c r="M62" s="5" t="str">
        <f>VLOOKUP(L62,[1]SkillName!$A:$B,2,FALSE)</f>
        <v>無効</v>
      </c>
    </row>
    <row r="63" spans="1:13">
      <c r="A63" s="1">
        <f>VLOOKUP(B63,[1]CharaName!$A:$B,2,FALSE)</f>
        <v>0</v>
      </c>
      <c r="B63">
        <v>61</v>
      </c>
      <c r="C63" t="s">
        <v>64</v>
      </c>
      <c r="D63">
        <v>0</v>
      </c>
      <c r="E63">
        <v>100</v>
      </c>
      <c r="F63">
        <v>10</v>
      </c>
      <c r="G63">
        <v>10</v>
      </c>
      <c r="H63">
        <v>10</v>
      </c>
      <c r="I63">
        <v>10</v>
      </c>
      <c r="J63">
        <v>0</v>
      </c>
      <c r="K63" s="5" t="str">
        <f>VLOOKUP(J63,[1]SkillName!$A:$B,2,FALSE)</f>
        <v>無効</v>
      </c>
      <c r="L63">
        <v>0</v>
      </c>
      <c r="M63" s="5" t="str">
        <f>VLOOKUP(L63,[1]SkillName!$A:$B,2,FALSE)</f>
        <v>無効</v>
      </c>
    </row>
    <row r="64" spans="1:13">
      <c r="A64" s="1">
        <f>VLOOKUP(B64,[1]CharaName!$A:$B,2,FALSE)</f>
        <v>0</v>
      </c>
      <c r="B64">
        <v>62</v>
      </c>
      <c r="C64" t="s">
        <v>65</v>
      </c>
      <c r="D64">
        <v>0</v>
      </c>
      <c r="E64">
        <v>100</v>
      </c>
      <c r="F64">
        <v>10</v>
      </c>
      <c r="G64">
        <v>10</v>
      </c>
      <c r="H64">
        <v>10</v>
      </c>
      <c r="I64">
        <v>10</v>
      </c>
      <c r="J64">
        <v>0</v>
      </c>
      <c r="K64" s="5" t="str">
        <f>VLOOKUP(J64,[1]SkillName!$A:$B,2,FALSE)</f>
        <v>無効</v>
      </c>
      <c r="L64">
        <v>0</v>
      </c>
      <c r="M64" s="5" t="str">
        <f>VLOOKUP(L64,[1]SkillName!$A:$B,2,FALSE)</f>
        <v>無効</v>
      </c>
    </row>
    <row r="65" spans="1:13">
      <c r="A65" s="1">
        <f>VLOOKUP(B65,[1]CharaName!$A:$B,2,FALSE)</f>
        <v>0</v>
      </c>
      <c r="B65">
        <v>63</v>
      </c>
      <c r="C65" t="s">
        <v>66</v>
      </c>
      <c r="D65">
        <v>0</v>
      </c>
      <c r="E65">
        <v>100</v>
      </c>
      <c r="F65">
        <v>10</v>
      </c>
      <c r="G65">
        <v>10</v>
      </c>
      <c r="H65">
        <v>10</v>
      </c>
      <c r="I65">
        <v>10</v>
      </c>
      <c r="J65">
        <v>0</v>
      </c>
      <c r="K65" s="5" t="str">
        <f>VLOOKUP(J65,[1]SkillName!$A:$B,2,FALSE)</f>
        <v>無効</v>
      </c>
      <c r="L65">
        <v>0</v>
      </c>
      <c r="M65" s="5" t="str">
        <f>VLOOKUP(L65,[1]SkillName!$A:$B,2,FALSE)</f>
        <v>無効</v>
      </c>
    </row>
    <row r="66" spans="1:13">
      <c r="A66" s="1">
        <f>VLOOKUP(B66,[1]CharaName!$A:$B,2,FALSE)</f>
        <v>0</v>
      </c>
      <c r="B66">
        <v>64</v>
      </c>
      <c r="C66" t="s">
        <v>67</v>
      </c>
      <c r="D66">
        <v>0</v>
      </c>
      <c r="E66">
        <v>100</v>
      </c>
      <c r="F66">
        <v>10</v>
      </c>
      <c r="G66">
        <v>10</v>
      </c>
      <c r="H66">
        <v>10</v>
      </c>
      <c r="I66">
        <v>10</v>
      </c>
      <c r="J66">
        <v>0</v>
      </c>
      <c r="K66" s="5" t="str">
        <f>VLOOKUP(J66,[1]SkillName!$A:$B,2,FALSE)</f>
        <v>無効</v>
      </c>
      <c r="L66">
        <v>0</v>
      </c>
      <c r="M66" s="5" t="str">
        <f>VLOOKUP(L66,[1]SkillName!$A:$B,2,FALSE)</f>
        <v>無効</v>
      </c>
    </row>
    <row r="67" spans="1:13">
      <c r="A67" s="1">
        <f>VLOOKUP(B67,[1]CharaName!$A:$B,2,FALSE)</f>
        <v>0</v>
      </c>
      <c r="B67">
        <v>65</v>
      </c>
      <c r="C67" t="s">
        <v>68</v>
      </c>
      <c r="D67">
        <v>0</v>
      </c>
      <c r="E67">
        <v>100</v>
      </c>
      <c r="F67">
        <v>10</v>
      </c>
      <c r="G67">
        <v>10</v>
      </c>
      <c r="H67">
        <v>10</v>
      </c>
      <c r="I67">
        <v>10</v>
      </c>
      <c r="J67">
        <v>0</v>
      </c>
      <c r="K67" s="5" t="str">
        <f>VLOOKUP(J67,[1]SkillName!$A:$B,2,FALSE)</f>
        <v>無効</v>
      </c>
      <c r="L67">
        <v>0</v>
      </c>
      <c r="M67" s="5" t="str">
        <f>VLOOKUP(L67,[1]SkillName!$A:$B,2,FALSE)</f>
        <v>無効</v>
      </c>
    </row>
    <row r="68" spans="1:13">
      <c r="A68" s="1">
        <f>VLOOKUP(B68,[1]CharaName!$A:$B,2,FALSE)</f>
        <v>0</v>
      </c>
      <c r="B68">
        <v>66</v>
      </c>
      <c r="C68" t="s">
        <v>69</v>
      </c>
      <c r="D68">
        <v>0</v>
      </c>
      <c r="E68">
        <v>100</v>
      </c>
      <c r="F68">
        <v>10</v>
      </c>
      <c r="G68">
        <v>10</v>
      </c>
      <c r="H68">
        <v>10</v>
      </c>
      <c r="I68">
        <v>10</v>
      </c>
      <c r="J68">
        <v>0</v>
      </c>
      <c r="K68" s="5" t="str">
        <f>VLOOKUP(J68,[1]SkillName!$A:$B,2,FALSE)</f>
        <v>無効</v>
      </c>
      <c r="L68">
        <v>0</v>
      </c>
      <c r="M68" s="5" t="str">
        <f>VLOOKUP(L68,[1]SkillName!$A:$B,2,FALSE)</f>
        <v>無効</v>
      </c>
    </row>
    <row r="69" spans="1:13">
      <c r="A69" s="1">
        <f>VLOOKUP(B69,[1]CharaName!$A:$B,2,FALSE)</f>
        <v>0</v>
      </c>
      <c r="B69">
        <v>67</v>
      </c>
      <c r="C69" t="s">
        <v>70</v>
      </c>
      <c r="D69">
        <v>0</v>
      </c>
      <c r="E69">
        <v>100</v>
      </c>
      <c r="F69">
        <v>10</v>
      </c>
      <c r="G69">
        <v>10</v>
      </c>
      <c r="H69">
        <v>10</v>
      </c>
      <c r="I69">
        <v>10</v>
      </c>
      <c r="J69">
        <v>0</v>
      </c>
      <c r="K69" s="5" t="str">
        <f>VLOOKUP(J69,[1]SkillName!$A:$B,2,FALSE)</f>
        <v>無効</v>
      </c>
      <c r="L69">
        <v>0</v>
      </c>
      <c r="M69" s="5" t="str">
        <f>VLOOKUP(L69,[1]SkillName!$A:$B,2,FALSE)</f>
        <v>無効</v>
      </c>
    </row>
    <row r="70" spans="1:13">
      <c r="A70" s="1">
        <f>VLOOKUP(B70,[1]CharaName!$A:$B,2,FALSE)</f>
        <v>0</v>
      </c>
      <c r="B70">
        <v>68</v>
      </c>
      <c r="C70" t="s">
        <v>71</v>
      </c>
      <c r="D70">
        <v>0</v>
      </c>
      <c r="E70">
        <v>100</v>
      </c>
      <c r="F70">
        <v>10</v>
      </c>
      <c r="G70">
        <v>10</v>
      </c>
      <c r="H70">
        <v>10</v>
      </c>
      <c r="I70">
        <v>10</v>
      </c>
      <c r="J70">
        <v>0</v>
      </c>
      <c r="K70" s="5" t="str">
        <f>VLOOKUP(J70,[1]SkillName!$A:$B,2,FALSE)</f>
        <v>無効</v>
      </c>
      <c r="L70">
        <v>0</v>
      </c>
      <c r="M70" s="5" t="str">
        <f>VLOOKUP(L70,[1]SkillName!$A:$B,2,FALSE)</f>
        <v>無効</v>
      </c>
    </row>
    <row r="71" spans="1:13">
      <c r="A71" s="1">
        <f>VLOOKUP(B71,[1]CharaName!$A:$B,2,FALSE)</f>
        <v>0</v>
      </c>
      <c r="B71">
        <v>69</v>
      </c>
      <c r="C71" t="s">
        <v>72</v>
      </c>
      <c r="D71">
        <v>0</v>
      </c>
      <c r="E71">
        <v>100</v>
      </c>
      <c r="F71">
        <v>10</v>
      </c>
      <c r="G71">
        <v>10</v>
      </c>
      <c r="H71">
        <v>10</v>
      </c>
      <c r="I71">
        <v>10</v>
      </c>
      <c r="J71">
        <v>0</v>
      </c>
      <c r="K71" s="5" t="str">
        <f>VLOOKUP(J71,[1]SkillName!$A:$B,2,FALSE)</f>
        <v>無効</v>
      </c>
      <c r="L71">
        <v>0</v>
      </c>
      <c r="M71" s="5" t="str">
        <f>VLOOKUP(L71,[1]SkillName!$A:$B,2,FALSE)</f>
        <v>無効</v>
      </c>
    </row>
    <row r="72" spans="1:13">
      <c r="A72" s="1">
        <f>VLOOKUP(B72,[1]CharaName!$A:$B,2,FALSE)</f>
        <v>0</v>
      </c>
      <c r="B72">
        <v>70</v>
      </c>
      <c r="C72" t="s">
        <v>73</v>
      </c>
      <c r="D72">
        <v>0</v>
      </c>
      <c r="E72">
        <v>100</v>
      </c>
      <c r="F72">
        <v>10</v>
      </c>
      <c r="G72">
        <v>10</v>
      </c>
      <c r="H72">
        <v>10</v>
      </c>
      <c r="I72">
        <v>10</v>
      </c>
      <c r="J72">
        <v>0</v>
      </c>
      <c r="K72" s="5" t="str">
        <f>VLOOKUP(J72,[1]SkillName!$A:$B,2,FALSE)</f>
        <v>無効</v>
      </c>
      <c r="L72">
        <v>0</v>
      </c>
      <c r="M72" s="5" t="str">
        <f>VLOOKUP(L72,[1]SkillName!$A:$B,2,FALSE)</f>
        <v>無効</v>
      </c>
    </row>
    <row r="73" spans="1:13">
      <c r="A73" s="1">
        <f>VLOOKUP(B73,[1]CharaName!$A:$B,2,FALSE)</f>
        <v>0</v>
      </c>
      <c r="B73">
        <v>71</v>
      </c>
      <c r="C73" t="s">
        <v>74</v>
      </c>
      <c r="D73">
        <v>0</v>
      </c>
      <c r="E73">
        <v>100</v>
      </c>
      <c r="F73">
        <v>10</v>
      </c>
      <c r="G73">
        <v>10</v>
      </c>
      <c r="H73">
        <v>10</v>
      </c>
      <c r="I73">
        <v>10</v>
      </c>
      <c r="J73">
        <v>0</v>
      </c>
      <c r="K73" s="5" t="str">
        <f>VLOOKUP(J73,[1]SkillName!$A:$B,2,FALSE)</f>
        <v>無効</v>
      </c>
      <c r="L73">
        <v>0</v>
      </c>
      <c r="M73" s="5" t="str">
        <f>VLOOKUP(L73,[1]SkillName!$A:$B,2,FALSE)</f>
        <v>無効</v>
      </c>
    </row>
    <row r="74" spans="1:13">
      <c r="A74" s="1">
        <f>VLOOKUP(B74,[1]CharaName!$A:$B,2,FALSE)</f>
        <v>0</v>
      </c>
      <c r="B74">
        <v>72</v>
      </c>
      <c r="C74" t="s">
        <v>75</v>
      </c>
      <c r="D74">
        <v>0</v>
      </c>
      <c r="E74">
        <v>100</v>
      </c>
      <c r="F74">
        <v>10</v>
      </c>
      <c r="G74">
        <v>10</v>
      </c>
      <c r="H74">
        <v>10</v>
      </c>
      <c r="I74">
        <v>10</v>
      </c>
      <c r="J74">
        <v>0</v>
      </c>
      <c r="K74" s="5" t="str">
        <f>VLOOKUP(J74,[1]SkillName!$A:$B,2,FALSE)</f>
        <v>無効</v>
      </c>
      <c r="L74">
        <v>0</v>
      </c>
      <c r="M74" s="5" t="str">
        <f>VLOOKUP(L74,[1]SkillName!$A:$B,2,FALSE)</f>
        <v>無効</v>
      </c>
    </row>
    <row r="75" spans="1:13">
      <c r="A75" s="1">
        <f>VLOOKUP(B75,[1]CharaName!$A:$B,2,FALSE)</f>
        <v>0</v>
      </c>
      <c r="B75">
        <v>73</v>
      </c>
      <c r="C75" t="s">
        <v>76</v>
      </c>
      <c r="D75">
        <v>0</v>
      </c>
      <c r="E75">
        <v>100</v>
      </c>
      <c r="F75">
        <v>10</v>
      </c>
      <c r="G75">
        <v>10</v>
      </c>
      <c r="H75">
        <v>10</v>
      </c>
      <c r="I75">
        <v>10</v>
      </c>
      <c r="J75">
        <v>0</v>
      </c>
      <c r="K75" s="5" t="str">
        <f>VLOOKUP(J75,[1]SkillName!$A:$B,2,FALSE)</f>
        <v>無効</v>
      </c>
      <c r="L75">
        <v>0</v>
      </c>
      <c r="M75" s="5" t="str">
        <f>VLOOKUP(L75,[1]SkillName!$A:$B,2,FALSE)</f>
        <v>無効</v>
      </c>
    </row>
    <row r="76" spans="1:13">
      <c r="A76" s="1">
        <f>VLOOKUP(B76,[1]CharaName!$A:$B,2,FALSE)</f>
        <v>0</v>
      </c>
      <c r="B76">
        <v>74</v>
      </c>
      <c r="C76" t="s">
        <v>77</v>
      </c>
      <c r="D76">
        <v>0</v>
      </c>
      <c r="E76">
        <v>100</v>
      </c>
      <c r="F76">
        <v>10</v>
      </c>
      <c r="G76">
        <v>10</v>
      </c>
      <c r="H76">
        <v>10</v>
      </c>
      <c r="I76">
        <v>10</v>
      </c>
      <c r="J76">
        <v>0</v>
      </c>
      <c r="K76" s="5" t="str">
        <f>VLOOKUP(J76,[1]SkillName!$A:$B,2,FALSE)</f>
        <v>無効</v>
      </c>
      <c r="L76">
        <v>0</v>
      </c>
      <c r="M76" s="5" t="str">
        <f>VLOOKUP(L76,[1]SkillName!$A:$B,2,FALSE)</f>
        <v>無効</v>
      </c>
    </row>
    <row r="77" spans="1:13">
      <c r="A77" s="1">
        <f>VLOOKUP(B77,[1]CharaName!$A:$B,2,FALSE)</f>
        <v>0</v>
      </c>
      <c r="B77">
        <v>75</v>
      </c>
      <c r="C77" t="s">
        <v>78</v>
      </c>
      <c r="D77">
        <v>0</v>
      </c>
      <c r="E77">
        <v>100</v>
      </c>
      <c r="F77">
        <v>10</v>
      </c>
      <c r="G77">
        <v>10</v>
      </c>
      <c r="H77">
        <v>10</v>
      </c>
      <c r="I77">
        <v>10</v>
      </c>
      <c r="J77">
        <v>0</v>
      </c>
      <c r="K77" s="5" t="str">
        <f>VLOOKUP(J77,[1]SkillName!$A:$B,2,FALSE)</f>
        <v>無効</v>
      </c>
      <c r="L77">
        <v>0</v>
      </c>
      <c r="M77" s="5" t="str">
        <f>VLOOKUP(L77,[1]SkillName!$A:$B,2,FALSE)</f>
        <v>無効</v>
      </c>
    </row>
    <row r="78" spans="1:13">
      <c r="A78" s="1">
        <f>VLOOKUP(B78,[1]CharaName!$A:$B,2,FALSE)</f>
        <v>0</v>
      </c>
      <c r="B78">
        <v>76</v>
      </c>
      <c r="C78" t="s">
        <v>79</v>
      </c>
      <c r="D78">
        <v>0</v>
      </c>
      <c r="E78">
        <v>100</v>
      </c>
      <c r="F78">
        <v>10</v>
      </c>
      <c r="G78">
        <v>10</v>
      </c>
      <c r="H78">
        <v>10</v>
      </c>
      <c r="I78">
        <v>10</v>
      </c>
      <c r="J78">
        <v>0</v>
      </c>
      <c r="K78" s="5" t="str">
        <f>VLOOKUP(J78,[1]SkillName!$A:$B,2,FALSE)</f>
        <v>無効</v>
      </c>
      <c r="L78">
        <v>0</v>
      </c>
      <c r="M78" s="5" t="str">
        <f>VLOOKUP(L78,[1]SkillName!$A:$B,2,FALSE)</f>
        <v>無効</v>
      </c>
    </row>
    <row r="79" spans="1:13">
      <c r="A79" s="1">
        <f>VLOOKUP(B79,[1]CharaName!$A:$B,2,FALSE)</f>
        <v>0</v>
      </c>
      <c r="B79">
        <v>77</v>
      </c>
      <c r="C79" t="s">
        <v>80</v>
      </c>
      <c r="D79">
        <v>0</v>
      </c>
      <c r="E79">
        <v>100</v>
      </c>
      <c r="F79">
        <v>10</v>
      </c>
      <c r="G79">
        <v>10</v>
      </c>
      <c r="H79">
        <v>10</v>
      </c>
      <c r="I79">
        <v>10</v>
      </c>
      <c r="J79">
        <v>0</v>
      </c>
      <c r="K79" s="5" t="str">
        <f>VLOOKUP(J79,[1]SkillName!$A:$B,2,FALSE)</f>
        <v>無効</v>
      </c>
      <c r="L79">
        <v>0</v>
      </c>
      <c r="M79" s="5" t="str">
        <f>VLOOKUP(L79,[1]SkillName!$A:$B,2,FALSE)</f>
        <v>無効</v>
      </c>
    </row>
    <row r="80" spans="1:13">
      <c r="A80" s="1">
        <f>VLOOKUP(B80,[1]CharaName!$A:$B,2,FALSE)</f>
        <v>0</v>
      </c>
      <c r="B80">
        <v>78</v>
      </c>
      <c r="C80" t="s">
        <v>81</v>
      </c>
      <c r="D80">
        <v>0</v>
      </c>
      <c r="E80">
        <v>100</v>
      </c>
      <c r="F80">
        <v>10</v>
      </c>
      <c r="G80">
        <v>10</v>
      </c>
      <c r="H80">
        <v>10</v>
      </c>
      <c r="I80">
        <v>10</v>
      </c>
      <c r="J80">
        <v>0</v>
      </c>
      <c r="K80" s="5" t="str">
        <f>VLOOKUP(J80,[1]SkillName!$A:$B,2,FALSE)</f>
        <v>無効</v>
      </c>
      <c r="L80">
        <v>0</v>
      </c>
      <c r="M80" s="5" t="str">
        <f>VLOOKUP(L80,[1]SkillName!$A:$B,2,FALSE)</f>
        <v>無効</v>
      </c>
    </row>
    <row r="81" spans="1:13">
      <c r="A81" s="1">
        <f>VLOOKUP(B81,[1]CharaName!$A:$B,2,FALSE)</f>
        <v>0</v>
      </c>
      <c r="B81">
        <v>79</v>
      </c>
      <c r="C81" t="s">
        <v>82</v>
      </c>
      <c r="D81">
        <v>0</v>
      </c>
      <c r="E81">
        <v>100</v>
      </c>
      <c r="F81">
        <v>10</v>
      </c>
      <c r="G81">
        <v>10</v>
      </c>
      <c r="H81">
        <v>10</v>
      </c>
      <c r="I81">
        <v>10</v>
      </c>
      <c r="J81">
        <v>0</v>
      </c>
      <c r="K81" s="5" t="str">
        <f>VLOOKUP(J81,[1]SkillName!$A:$B,2,FALSE)</f>
        <v>無効</v>
      </c>
      <c r="L81">
        <v>0</v>
      </c>
      <c r="M81" s="5" t="str">
        <f>VLOOKUP(L81,[1]SkillName!$A:$B,2,FALSE)</f>
        <v>無効</v>
      </c>
    </row>
    <row r="82" spans="1:13">
      <c r="A82" s="1">
        <f>VLOOKUP(B82,[1]CharaName!$A:$B,2,FALSE)</f>
        <v>0</v>
      </c>
      <c r="B82">
        <v>80</v>
      </c>
      <c r="C82" t="s">
        <v>83</v>
      </c>
      <c r="D82">
        <v>0</v>
      </c>
      <c r="E82">
        <v>100</v>
      </c>
      <c r="F82">
        <v>10</v>
      </c>
      <c r="G82">
        <v>10</v>
      </c>
      <c r="H82">
        <v>10</v>
      </c>
      <c r="I82">
        <v>10</v>
      </c>
      <c r="J82">
        <v>0</v>
      </c>
      <c r="K82" s="5" t="str">
        <f>VLOOKUP(J82,[1]SkillName!$A:$B,2,FALSE)</f>
        <v>無効</v>
      </c>
      <c r="L82">
        <v>0</v>
      </c>
      <c r="M82" s="5" t="str">
        <f>VLOOKUP(L82,[1]SkillName!$A:$B,2,FALSE)</f>
        <v>無効</v>
      </c>
    </row>
    <row r="83" spans="1:13">
      <c r="A83" s="1">
        <f>VLOOKUP(B83,[1]CharaName!$A:$B,2,FALSE)</f>
        <v>0</v>
      </c>
      <c r="B83">
        <v>81</v>
      </c>
      <c r="C83" t="s">
        <v>84</v>
      </c>
      <c r="D83">
        <v>0</v>
      </c>
      <c r="E83">
        <v>100</v>
      </c>
      <c r="F83">
        <v>10</v>
      </c>
      <c r="G83">
        <v>10</v>
      </c>
      <c r="H83">
        <v>10</v>
      </c>
      <c r="I83">
        <v>10</v>
      </c>
      <c r="J83">
        <v>0</v>
      </c>
      <c r="K83" s="5" t="str">
        <f>VLOOKUP(J83,[1]SkillName!$A:$B,2,FALSE)</f>
        <v>無効</v>
      </c>
      <c r="L83">
        <v>0</v>
      </c>
      <c r="M83" s="5" t="str">
        <f>VLOOKUP(L83,[1]SkillName!$A:$B,2,FALSE)</f>
        <v>無効</v>
      </c>
    </row>
    <row r="84" spans="1:13">
      <c r="A84" s="1">
        <f>VLOOKUP(B84,[1]CharaName!$A:$B,2,FALSE)</f>
        <v>0</v>
      </c>
      <c r="B84">
        <v>82</v>
      </c>
      <c r="C84" t="s">
        <v>85</v>
      </c>
      <c r="D84">
        <v>0</v>
      </c>
      <c r="E84">
        <v>100</v>
      </c>
      <c r="F84">
        <v>10</v>
      </c>
      <c r="G84">
        <v>10</v>
      </c>
      <c r="H84">
        <v>10</v>
      </c>
      <c r="I84">
        <v>10</v>
      </c>
      <c r="J84">
        <v>0</v>
      </c>
      <c r="K84" s="5" t="str">
        <f>VLOOKUP(J84,[1]SkillName!$A:$B,2,FALSE)</f>
        <v>無効</v>
      </c>
      <c r="L84">
        <v>0</v>
      </c>
      <c r="M84" s="5" t="str">
        <f>VLOOKUP(L84,[1]SkillName!$A:$B,2,FALSE)</f>
        <v>無効</v>
      </c>
    </row>
    <row r="85" spans="1:13">
      <c r="A85" s="1">
        <f>VLOOKUP(B85,[1]CharaName!$A:$B,2,FALSE)</f>
        <v>0</v>
      </c>
      <c r="B85">
        <v>83</v>
      </c>
      <c r="C85" t="s">
        <v>86</v>
      </c>
      <c r="D85">
        <v>0</v>
      </c>
      <c r="E85">
        <v>100</v>
      </c>
      <c r="F85">
        <v>10</v>
      </c>
      <c r="G85">
        <v>10</v>
      </c>
      <c r="H85">
        <v>10</v>
      </c>
      <c r="I85">
        <v>10</v>
      </c>
      <c r="J85">
        <v>0</v>
      </c>
      <c r="K85" s="5" t="str">
        <f>VLOOKUP(J85,[1]SkillName!$A:$B,2,FALSE)</f>
        <v>無効</v>
      </c>
      <c r="L85">
        <v>0</v>
      </c>
      <c r="M85" s="5" t="str">
        <f>VLOOKUP(L85,[1]SkillName!$A:$B,2,FALSE)</f>
        <v>無効</v>
      </c>
    </row>
    <row r="86" spans="1:13">
      <c r="A86" s="1">
        <f>VLOOKUP(B86,[1]CharaName!$A:$B,2,FALSE)</f>
        <v>0</v>
      </c>
      <c r="B86">
        <v>84</v>
      </c>
      <c r="C86" t="s">
        <v>87</v>
      </c>
      <c r="D86">
        <v>0</v>
      </c>
      <c r="E86">
        <v>100</v>
      </c>
      <c r="F86">
        <v>10</v>
      </c>
      <c r="G86">
        <v>10</v>
      </c>
      <c r="H86">
        <v>10</v>
      </c>
      <c r="I86">
        <v>10</v>
      </c>
      <c r="J86">
        <v>0</v>
      </c>
      <c r="K86" s="5" t="str">
        <f>VLOOKUP(J86,[1]SkillName!$A:$B,2,FALSE)</f>
        <v>無効</v>
      </c>
      <c r="L86">
        <v>0</v>
      </c>
      <c r="M86" s="5" t="str">
        <f>VLOOKUP(L86,[1]SkillName!$A:$B,2,FALSE)</f>
        <v>無効</v>
      </c>
    </row>
    <row r="87" spans="1:13">
      <c r="A87" s="1">
        <f>VLOOKUP(B87,[1]CharaName!$A:$B,2,FALSE)</f>
        <v>0</v>
      </c>
      <c r="B87">
        <v>85</v>
      </c>
      <c r="C87" t="s">
        <v>88</v>
      </c>
      <c r="D87">
        <v>0</v>
      </c>
      <c r="E87">
        <v>100</v>
      </c>
      <c r="F87">
        <v>10</v>
      </c>
      <c r="G87">
        <v>10</v>
      </c>
      <c r="H87">
        <v>10</v>
      </c>
      <c r="I87">
        <v>10</v>
      </c>
      <c r="J87">
        <v>0</v>
      </c>
      <c r="K87" s="5" t="str">
        <f>VLOOKUP(J87,[1]SkillName!$A:$B,2,FALSE)</f>
        <v>無効</v>
      </c>
      <c r="L87">
        <v>0</v>
      </c>
      <c r="M87" s="5" t="str">
        <f>VLOOKUP(L87,[1]SkillName!$A:$B,2,FALSE)</f>
        <v>無効</v>
      </c>
    </row>
    <row r="88" spans="1:13">
      <c r="A88" s="1">
        <f>VLOOKUP(B88,[1]CharaName!$A:$B,2,FALSE)</f>
        <v>0</v>
      </c>
      <c r="B88">
        <v>86</v>
      </c>
      <c r="C88" t="s">
        <v>89</v>
      </c>
      <c r="D88">
        <v>0</v>
      </c>
      <c r="E88">
        <v>100</v>
      </c>
      <c r="F88">
        <v>10</v>
      </c>
      <c r="G88">
        <v>10</v>
      </c>
      <c r="H88">
        <v>10</v>
      </c>
      <c r="I88">
        <v>10</v>
      </c>
      <c r="J88">
        <v>0</v>
      </c>
      <c r="K88" s="5" t="str">
        <f>VLOOKUP(J88,[1]SkillName!$A:$B,2,FALSE)</f>
        <v>無効</v>
      </c>
      <c r="L88">
        <v>0</v>
      </c>
      <c r="M88" s="5" t="str">
        <f>VLOOKUP(L88,[1]SkillName!$A:$B,2,FALSE)</f>
        <v>無効</v>
      </c>
    </row>
    <row r="89" spans="1:13">
      <c r="A89" s="1">
        <f>VLOOKUP(B89,[1]CharaName!$A:$B,2,FALSE)</f>
        <v>0</v>
      </c>
      <c r="B89">
        <v>87</v>
      </c>
      <c r="C89" t="s">
        <v>90</v>
      </c>
      <c r="D89">
        <v>0</v>
      </c>
      <c r="E89">
        <v>100</v>
      </c>
      <c r="F89">
        <v>10</v>
      </c>
      <c r="G89">
        <v>10</v>
      </c>
      <c r="H89">
        <v>10</v>
      </c>
      <c r="I89">
        <v>10</v>
      </c>
      <c r="J89">
        <v>0</v>
      </c>
      <c r="K89" s="5" t="str">
        <f>VLOOKUP(J89,[1]SkillName!$A:$B,2,FALSE)</f>
        <v>無効</v>
      </c>
      <c r="L89">
        <v>0</v>
      </c>
      <c r="M89" s="5" t="str">
        <f>VLOOKUP(L89,[1]SkillName!$A:$B,2,FALSE)</f>
        <v>無効</v>
      </c>
    </row>
    <row r="90" spans="1:13">
      <c r="A90" s="1">
        <f>VLOOKUP(B90,[1]CharaName!$A:$B,2,FALSE)</f>
        <v>0</v>
      </c>
      <c r="B90">
        <v>88</v>
      </c>
      <c r="C90" t="s">
        <v>91</v>
      </c>
      <c r="D90">
        <v>0</v>
      </c>
      <c r="E90">
        <v>100</v>
      </c>
      <c r="F90">
        <v>10</v>
      </c>
      <c r="G90">
        <v>10</v>
      </c>
      <c r="H90">
        <v>10</v>
      </c>
      <c r="I90">
        <v>10</v>
      </c>
      <c r="J90">
        <v>0</v>
      </c>
      <c r="K90" s="5" t="str">
        <f>VLOOKUP(J90,[1]SkillName!$A:$B,2,FALSE)</f>
        <v>無効</v>
      </c>
      <c r="L90">
        <v>0</v>
      </c>
      <c r="M90" s="5" t="str">
        <f>VLOOKUP(L90,[1]SkillName!$A:$B,2,FALSE)</f>
        <v>無効</v>
      </c>
    </row>
    <row r="91" spans="1:13">
      <c r="A91" s="1">
        <f>VLOOKUP(B91,[1]CharaName!$A:$B,2,FALSE)</f>
        <v>0</v>
      </c>
      <c r="B91">
        <v>89</v>
      </c>
      <c r="C91" t="s">
        <v>92</v>
      </c>
      <c r="D91">
        <v>0</v>
      </c>
      <c r="E91">
        <v>100</v>
      </c>
      <c r="F91">
        <v>10</v>
      </c>
      <c r="G91">
        <v>10</v>
      </c>
      <c r="H91">
        <v>10</v>
      </c>
      <c r="I91">
        <v>10</v>
      </c>
      <c r="J91">
        <v>0</v>
      </c>
      <c r="K91" s="5" t="str">
        <f>VLOOKUP(J91,[1]SkillName!$A:$B,2,FALSE)</f>
        <v>無効</v>
      </c>
      <c r="L91">
        <v>0</v>
      </c>
      <c r="M91" s="5" t="str">
        <f>VLOOKUP(L91,[1]SkillName!$A:$B,2,FALSE)</f>
        <v>無効</v>
      </c>
    </row>
    <row r="92" spans="1:13">
      <c r="A92" s="1">
        <f>VLOOKUP(B92,[1]CharaName!$A:$B,2,FALSE)</f>
        <v>0</v>
      </c>
      <c r="B92">
        <v>90</v>
      </c>
      <c r="C92" t="s">
        <v>93</v>
      </c>
      <c r="D92">
        <v>0</v>
      </c>
      <c r="E92">
        <v>100</v>
      </c>
      <c r="F92">
        <v>10</v>
      </c>
      <c r="G92">
        <v>10</v>
      </c>
      <c r="H92">
        <v>10</v>
      </c>
      <c r="I92">
        <v>10</v>
      </c>
      <c r="J92">
        <v>0</v>
      </c>
      <c r="K92" s="5" t="str">
        <f>VLOOKUP(J92,[1]SkillName!$A:$B,2,FALSE)</f>
        <v>無効</v>
      </c>
      <c r="L92">
        <v>0</v>
      </c>
      <c r="M92" s="5" t="str">
        <f>VLOOKUP(L92,[1]SkillName!$A:$B,2,FALSE)</f>
        <v>無効</v>
      </c>
    </row>
    <row r="93" spans="1:13">
      <c r="A93" s="1">
        <f>VLOOKUP(B93,[1]CharaName!$A:$B,2,FALSE)</f>
        <v>0</v>
      </c>
      <c r="B93">
        <v>91</v>
      </c>
      <c r="C93" t="s">
        <v>94</v>
      </c>
      <c r="D93">
        <v>0</v>
      </c>
      <c r="E93">
        <v>100</v>
      </c>
      <c r="F93">
        <v>10</v>
      </c>
      <c r="G93">
        <v>10</v>
      </c>
      <c r="H93">
        <v>10</v>
      </c>
      <c r="I93">
        <v>10</v>
      </c>
      <c r="J93">
        <v>0</v>
      </c>
      <c r="K93" s="5" t="str">
        <f>VLOOKUP(J93,[1]SkillName!$A:$B,2,FALSE)</f>
        <v>無効</v>
      </c>
      <c r="L93">
        <v>0</v>
      </c>
      <c r="M93" s="5" t="str">
        <f>VLOOKUP(L93,[1]SkillName!$A:$B,2,FALSE)</f>
        <v>無効</v>
      </c>
    </row>
    <row r="94" spans="1:13">
      <c r="A94" s="1">
        <f>VLOOKUP(B94,[1]CharaName!$A:$B,2,FALSE)</f>
        <v>0</v>
      </c>
      <c r="B94">
        <v>92</v>
      </c>
      <c r="C94" t="s">
        <v>95</v>
      </c>
      <c r="D94">
        <v>0</v>
      </c>
      <c r="E94">
        <v>100</v>
      </c>
      <c r="F94">
        <v>10</v>
      </c>
      <c r="G94">
        <v>10</v>
      </c>
      <c r="H94">
        <v>10</v>
      </c>
      <c r="I94">
        <v>10</v>
      </c>
      <c r="J94">
        <v>0</v>
      </c>
      <c r="K94" s="5" t="str">
        <f>VLOOKUP(J94,[1]SkillName!$A:$B,2,FALSE)</f>
        <v>無効</v>
      </c>
      <c r="L94">
        <v>0</v>
      </c>
      <c r="M94" s="5" t="str">
        <f>VLOOKUP(L94,[1]SkillName!$A:$B,2,FALSE)</f>
        <v>無効</v>
      </c>
    </row>
    <row r="95" spans="1:13">
      <c r="A95" s="1">
        <f>VLOOKUP(B95,[1]CharaName!$A:$B,2,FALSE)</f>
        <v>0</v>
      </c>
      <c r="B95">
        <v>93</v>
      </c>
      <c r="C95" t="s">
        <v>96</v>
      </c>
      <c r="D95">
        <v>0</v>
      </c>
      <c r="E95">
        <v>100</v>
      </c>
      <c r="F95">
        <v>10</v>
      </c>
      <c r="G95">
        <v>10</v>
      </c>
      <c r="H95">
        <v>10</v>
      </c>
      <c r="I95">
        <v>10</v>
      </c>
      <c r="J95">
        <v>0</v>
      </c>
      <c r="K95" s="5" t="str">
        <f>VLOOKUP(J95,[1]SkillName!$A:$B,2,FALSE)</f>
        <v>無効</v>
      </c>
      <c r="L95">
        <v>0</v>
      </c>
      <c r="M95" s="5" t="str">
        <f>VLOOKUP(L95,[1]SkillName!$A:$B,2,FALSE)</f>
        <v>無効</v>
      </c>
    </row>
    <row r="96" spans="1:13">
      <c r="A96" s="1">
        <f>VLOOKUP(B96,[1]CharaName!$A:$B,2,FALSE)</f>
        <v>0</v>
      </c>
      <c r="B96">
        <v>94</v>
      </c>
      <c r="C96" t="s">
        <v>97</v>
      </c>
      <c r="D96">
        <v>0</v>
      </c>
      <c r="E96">
        <v>100</v>
      </c>
      <c r="F96">
        <v>10</v>
      </c>
      <c r="G96">
        <v>10</v>
      </c>
      <c r="H96">
        <v>10</v>
      </c>
      <c r="I96">
        <v>10</v>
      </c>
      <c r="J96">
        <v>0</v>
      </c>
      <c r="K96" s="5" t="str">
        <f>VLOOKUP(J96,[1]SkillName!$A:$B,2,FALSE)</f>
        <v>無効</v>
      </c>
      <c r="L96">
        <v>0</v>
      </c>
      <c r="M96" s="5" t="str">
        <f>VLOOKUP(L96,[1]SkillName!$A:$B,2,FALSE)</f>
        <v>無効</v>
      </c>
    </row>
    <row r="97" spans="1:13">
      <c r="A97" s="1">
        <f>VLOOKUP(B97,[1]CharaName!$A:$B,2,FALSE)</f>
        <v>0</v>
      </c>
      <c r="B97">
        <v>95</v>
      </c>
      <c r="C97" t="s">
        <v>98</v>
      </c>
      <c r="D97">
        <v>0</v>
      </c>
      <c r="E97">
        <v>100</v>
      </c>
      <c r="F97">
        <v>10</v>
      </c>
      <c r="G97">
        <v>10</v>
      </c>
      <c r="H97">
        <v>10</v>
      </c>
      <c r="I97">
        <v>10</v>
      </c>
      <c r="J97">
        <v>0</v>
      </c>
      <c r="K97" s="5" t="str">
        <f>VLOOKUP(J97,[1]SkillName!$A:$B,2,FALSE)</f>
        <v>無効</v>
      </c>
      <c r="L97">
        <v>0</v>
      </c>
      <c r="M97" s="5" t="str">
        <f>VLOOKUP(L97,[1]SkillName!$A:$B,2,FALSE)</f>
        <v>無効</v>
      </c>
    </row>
    <row r="98" spans="1:13">
      <c r="A98" s="1">
        <f>VLOOKUP(B98,[1]CharaName!$A:$B,2,FALSE)</f>
        <v>0</v>
      </c>
      <c r="B98">
        <v>96</v>
      </c>
      <c r="C98" t="s">
        <v>99</v>
      </c>
      <c r="D98">
        <v>0</v>
      </c>
      <c r="E98">
        <v>100</v>
      </c>
      <c r="F98">
        <v>10</v>
      </c>
      <c r="G98">
        <v>10</v>
      </c>
      <c r="H98">
        <v>10</v>
      </c>
      <c r="I98">
        <v>10</v>
      </c>
      <c r="J98">
        <v>0</v>
      </c>
      <c r="K98" s="5" t="str">
        <f>VLOOKUP(J98,[1]SkillName!$A:$B,2,FALSE)</f>
        <v>無効</v>
      </c>
      <c r="L98">
        <v>0</v>
      </c>
      <c r="M98" s="5" t="str">
        <f>VLOOKUP(L98,[1]SkillName!$A:$B,2,FALSE)</f>
        <v>無効</v>
      </c>
    </row>
    <row r="99" spans="1:13">
      <c r="A99" s="1">
        <f>VLOOKUP(B99,[1]CharaName!$A:$B,2,FALSE)</f>
        <v>0</v>
      </c>
      <c r="B99">
        <v>97</v>
      </c>
      <c r="C99" t="s">
        <v>100</v>
      </c>
      <c r="D99">
        <v>0</v>
      </c>
      <c r="E99">
        <v>100</v>
      </c>
      <c r="F99">
        <v>10</v>
      </c>
      <c r="G99">
        <v>10</v>
      </c>
      <c r="H99">
        <v>10</v>
      </c>
      <c r="I99">
        <v>10</v>
      </c>
      <c r="J99">
        <v>0</v>
      </c>
      <c r="K99" s="5" t="str">
        <f>VLOOKUP(J99,[1]SkillName!$A:$B,2,FALSE)</f>
        <v>無効</v>
      </c>
      <c r="L99">
        <v>0</v>
      </c>
      <c r="M99" s="5" t="str">
        <f>VLOOKUP(L99,[1]SkillName!$A:$B,2,FALSE)</f>
        <v>無効</v>
      </c>
    </row>
    <row r="100" spans="1:13">
      <c r="A100" s="1">
        <f>VLOOKUP(B100,[1]CharaName!$A:$B,2,FALSE)</f>
        <v>0</v>
      </c>
      <c r="B100">
        <v>98</v>
      </c>
      <c r="C100" t="s">
        <v>101</v>
      </c>
      <c r="D100">
        <v>0</v>
      </c>
      <c r="E100">
        <v>100</v>
      </c>
      <c r="F100">
        <v>10</v>
      </c>
      <c r="G100">
        <v>10</v>
      </c>
      <c r="H100">
        <v>10</v>
      </c>
      <c r="I100">
        <v>10</v>
      </c>
      <c r="J100">
        <v>0</v>
      </c>
      <c r="K100" s="5" t="str">
        <f>VLOOKUP(J100,[1]SkillName!$A:$B,2,FALSE)</f>
        <v>無効</v>
      </c>
      <c r="L100">
        <v>0</v>
      </c>
      <c r="M100" s="5" t="str">
        <f>VLOOKUP(L100,[1]SkillName!$A:$B,2,FALSE)</f>
        <v>無効</v>
      </c>
    </row>
    <row r="101" spans="1:13">
      <c r="A101" s="1">
        <f>VLOOKUP(B101,[1]CharaName!$A:$B,2,FALSE)</f>
        <v>0</v>
      </c>
      <c r="B101">
        <v>99</v>
      </c>
      <c r="C101" t="s">
        <v>102</v>
      </c>
      <c r="D101">
        <v>0</v>
      </c>
      <c r="E101">
        <v>100</v>
      </c>
      <c r="F101">
        <v>10</v>
      </c>
      <c r="G101">
        <v>10</v>
      </c>
      <c r="H101">
        <v>10</v>
      </c>
      <c r="I101">
        <v>10</v>
      </c>
      <c r="J101">
        <v>0</v>
      </c>
      <c r="K101" s="5" t="str">
        <f>VLOOKUP(J101,[1]SkillName!$A:$B,2,FALSE)</f>
        <v>無効</v>
      </c>
      <c r="L101">
        <v>0</v>
      </c>
      <c r="M101" s="5" t="str">
        <f>VLOOKUP(L101,[1]SkillName!$A:$B,2,FALSE)</f>
        <v>無効</v>
      </c>
    </row>
    <row r="102" spans="1:13">
      <c r="A102" s="1">
        <f>VLOOKUP(B102,[1]CharaName!$A:$B,2,FALSE)</f>
        <v>0</v>
      </c>
      <c r="B102">
        <v>100</v>
      </c>
      <c r="C102" t="s">
        <v>103</v>
      </c>
      <c r="D102">
        <v>0</v>
      </c>
      <c r="E102">
        <v>100</v>
      </c>
      <c r="F102">
        <v>10</v>
      </c>
      <c r="G102">
        <v>10</v>
      </c>
      <c r="H102">
        <v>10</v>
      </c>
      <c r="I102">
        <v>10</v>
      </c>
      <c r="J102">
        <v>0</v>
      </c>
      <c r="K102" s="5" t="str">
        <f>VLOOKUP(J102,[1]SkillName!$A:$B,2,FALSE)</f>
        <v>無効</v>
      </c>
      <c r="L102">
        <v>0</v>
      </c>
      <c r="M102" s="5" t="str">
        <f>VLOOKUP(L102,[1]SkillName!$A:$B,2,FALSE)</f>
        <v>無効</v>
      </c>
    </row>
    <row r="103" spans="1:13">
      <c r="A103" s="1">
        <f>VLOOKUP(B103,[1]CharaName!$A:$B,2,FALSE)</f>
        <v>0</v>
      </c>
      <c r="B103">
        <v>101</v>
      </c>
      <c r="C103" t="s">
        <v>104</v>
      </c>
      <c r="D103">
        <v>0</v>
      </c>
      <c r="E103">
        <v>100</v>
      </c>
      <c r="F103">
        <v>10</v>
      </c>
      <c r="G103">
        <v>10</v>
      </c>
      <c r="H103">
        <v>10</v>
      </c>
      <c r="I103">
        <v>10</v>
      </c>
      <c r="J103">
        <v>0</v>
      </c>
      <c r="K103" s="5" t="str">
        <f>VLOOKUP(J103,[1]SkillName!$A:$B,2,FALSE)</f>
        <v>無効</v>
      </c>
      <c r="L103">
        <v>0</v>
      </c>
      <c r="M103" s="5" t="str">
        <f>VLOOKUP(L103,[1]SkillName!$A:$B,2,FALSE)</f>
        <v>無効</v>
      </c>
    </row>
    <row r="104" spans="1:13">
      <c r="A104" s="1">
        <f>VLOOKUP(B104,[1]CharaName!$A:$B,2,FALSE)</f>
        <v>0</v>
      </c>
      <c r="B104">
        <v>102</v>
      </c>
      <c r="C104" t="s">
        <v>105</v>
      </c>
      <c r="D104">
        <v>0</v>
      </c>
      <c r="E104">
        <v>100</v>
      </c>
      <c r="F104">
        <v>10</v>
      </c>
      <c r="G104">
        <v>10</v>
      </c>
      <c r="H104">
        <v>10</v>
      </c>
      <c r="I104">
        <v>10</v>
      </c>
      <c r="J104">
        <v>0</v>
      </c>
      <c r="K104" s="5" t="str">
        <f>VLOOKUP(J104,[1]SkillName!$A:$B,2,FALSE)</f>
        <v>無効</v>
      </c>
      <c r="L104">
        <v>0</v>
      </c>
      <c r="M104" s="5" t="str">
        <f>VLOOKUP(L104,[1]SkillName!$A:$B,2,FALSE)</f>
        <v>無効</v>
      </c>
    </row>
    <row r="105" spans="1:13">
      <c r="A105" s="1">
        <f>VLOOKUP(B105,[1]CharaName!$A:$B,2,FALSE)</f>
        <v>0</v>
      </c>
      <c r="B105">
        <v>103</v>
      </c>
      <c r="C105" t="s">
        <v>106</v>
      </c>
      <c r="D105">
        <v>0</v>
      </c>
      <c r="E105">
        <v>100</v>
      </c>
      <c r="F105">
        <v>10</v>
      </c>
      <c r="G105">
        <v>10</v>
      </c>
      <c r="H105">
        <v>10</v>
      </c>
      <c r="I105">
        <v>10</v>
      </c>
      <c r="J105">
        <v>0</v>
      </c>
      <c r="K105" s="5" t="str">
        <f>VLOOKUP(J105,[1]SkillName!$A:$B,2,FALSE)</f>
        <v>無効</v>
      </c>
      <c r="L105">
        <v>0</v>
      </c>
      <c r="M105" s="5" t="str">
        <f>VLOOKUP(L105,[1]SkillName!$A:$B,2,FALSE)</f>
        <v>無効</v>
      </c>
    </row>
    <row r="106" spans="1:13">
      <c r="A106" s="1">
        <f>VLOOKUP(B106,[1]CharaName!$A:$B,2,FALSE)</f>
        <v>0</v>
      </c>
      <c r="B106">
        <v>104</v>
      </c>
      <c r="C106" t="s">
        <v>107</v>
      </c>
      <c r="D106">
        <v>0</v>
      </c>
      <c r="E106">
        <v>100</v>
      </c>
      <c r="F106">
        <v>10</v>
      </c>
      <c r="G106">
        <v>10</v>
      </c>
      <c r="H106">
        <v>10</v>
      </c>
      <c r="I106">
        <v>10</v>
      </c>
      <c r="J106">
        <v>0</v>
      </c>
      <c r="K106" s="5" t="str">
        <f>VLOOKUP(J106,[1]SkillName!$A:$B,2,FALSE)</f>
        <v>無効</v>
      </c>
      <c r="L106">
        <v>0</v>
      </c>
      <c r="M106" s="5" t="str">
        <f>VLOOKUP(L106,[1]SkillName!$A:$B,2,FALSE)</f>
        <v>無効</v>
      </c>
    </row>
    <row r="107" spans="1:13">
      <c r="A107" s="1">
        <f>VLOOKUP(B107,[1]CharaName!$A:$B,2,FALSE)</f>
        <v>0</v>
      </c>
      <c r="B107">
        <v>105</v>
      </c>
      <c r="C107" t="s">
        <v>108</v>
      </c>
      <c r="D107">
        <v>0</v>
      </c>
      <c r="E107">
        <v>100</v>
      </c>
      <c r="F107">
        <v>10</v>
      </c>
      <c r="G107">
        <v>10</v>
      </c>
      <c r="H107">
        <v>10</v>
      </c>
      <c r="I107">
        <v>10</v>
      </c>
      <c r="J107">
        <v>0</v>
      </c>
      <c r="K107" s="5" t="str">
        <f>VLOOKUP(J107,[1]SkillName!$A:$B,2,FALSE)</f>
        <v>無効</v>
      </c>
      <c r="L107">
        <v>0</v>
      </c>
      <c r="M107" s="5" t="str">
        <f>VLOOKUP(L107,[1]SkillName!$A:$B,2,FALSE)</f>
        <v>無効</v>
      </c>
    </row>
    <row r="108" spans="1:13">
      <c r="A108" s="1">
        <f>VLOOKUP(B108,[1]CharaName!$A:$B,2,FALSE)</f>
        <v>0</v>
      </c>
      <c r="B108">
        <v>106</v>
      </c>
      <c r="C108" t="s">
        <v>109</v>
      </c>
      <c r="D108">
        <v>0</v>
      </c>
      <c r="E108">
        <v>100</v>
      </c>
      <c r="F108">
        <v>10</v>
      </c>
      <c r="G108">
        <v>10</v>
      </c>
      <c r="H108">
        <v>10</v>
      </c>
      <c r="I108">
        <v>10</v>
      </c>
      <c r="J108">
        <v>0</v>
      </c>
      <c r="K108" s="5" t="str">
        <f>VLOOKUP(J108,[1]SkillName!$A:$B,2,FALSE)</f>
        <v>無効</v>
      </c>
      <c r="L108">
        <v>0</v>
      </c>
      <c r="M108" s="5" t="str">
        <f>VLOOKUP(L108,[1]SkillName!$A:$B,2,FALSE)</f>
        <v>無効</v>
      </c>
    </row>
    <row r="109" spans="1:13">
      <c r="A109" s="1">
        <f>VLOOKUP(B109,[1]CharaName!$A:$B,2,FALSE)</f>
        <v>0</v>
      </c>
      <c r="B109">
        <v>107</v>
      </c>
      <c r="C109" t="s">
        <v>110</v>
      </c>
      <c r="D109">
        <v>0</v>
      </c>
      <c r="E109">
        <v>100</v>
      </c>
      <c r="F109">
        <v>10</v>
      </c>
      <c r="G109">
        <v>10</v>
      </c>
      <c r="H109">
        <v>10</v>
      </c>
      <c r="I109">
        <v>10</v>
      </c>
      <c r="J109">
        <v>0</v>
      </c>
      <c r="K109" s="5" t="str">
        <f>VLOOKUP(J109,[1]SkillName!$A:$B,2,FALSE)</f>
        <v>無効</v>
      </c>
      <c r="L109">
        <v>0</v>
      </c>
      <c r="M109" s="5" t="str">
        <f>VLOOKUP(L109,[1]SkillName!$A:$B,2,FALSE)</f>
        <v>無効</v>
      </c>
    </row>
    <row r="110" spans="1:13">
      <c r="A110" s="1">
        <f>VLOOKUP(B110,[1]CharaName!$A:$B,2,FALSE)</f>
        <v>0</v>
      </c>
      <c r="B110">
        <v>108</v>
      </c>
      <c r="C110" t="s">
        <v>111</v>
      </c>
      <c r="D110">
        <v>0</v>
      </c>
      <c r="E110">
        <v>100</v>
      </c>
      <c r="F110">
        <v>10</v>
      </c>
      <c r="G110">
        <v>10</v>
      </c>
      <c r="H110">
        <v>10</v>
      </c>
      <c r="I110">
        <v>10</v>
      </c>
      <c r="J110">
        <v>0</v>
      </c>
      <c r="K110" s="5" t="str">
        <f>VLOOKUP(J110,[1]SkillName!$A:$B,2,FALSE)</f>
        <v>無効</v>
      </c>
      <c r="L110">
        <v>0</v>
      </c>
      <c r="M110" s="5" t="str">
        <f>VLOOKUP(L110,[1]SkillName!$A:$B,2,FALSE)</f>
        <v>無効</v>
      </c>
    </row>
    <row r="111" spans="1:13">
      <c r="A111" s="1">
        <f>VLOOKUP(B111,[1]CharaName!$A:$B,2,FALSE)</f>
        <v>0</v>
      </c>
      <c r="B111">
        <v>109</v>
      </c>
      <c r="C111" t="s">
        <v>112</v>
      </c>
      <c r="D111">
        <v>0</v>
      </c>
      <c r="E111">
        <v>100</v>
      </c>
      <c r="F111">
        <v>10</v>
      </c>
      <c r="G111">
        <v>10</v>
      </c>
      <c r="H111">
        <v>10</v>
      </c>
      <c r="I111">
        <v>10</v>
      </c>
      <c r="J111">
        <v>0</v>
      </c>
      <c r="K111" s="5" t="str">
        <f>VLOOKUP(J111,[1]SkillName!$A:$B,2,FALSE)</f>
        <v>無効</v>
      </c>
      <c r="L111">
        <v>0</v>
      </c>
      <c r="M111" s="5" t="str">
        <f>VLOOKUP(L111,[1]SkillName!$A:$B,2,FALSE)</f>
        <v>無効</v>
      </c>
    </row>
    <row r="112" spans="1:13">
      <c r="A112" s="1">
        <f>VLOOKUP(B112,[1]CharaName!$A:$B,2,FALSE)</f>
        <v>0</v>
      </c>
      <c r="B112">
        <v>110</v>
      </c>
      <c r="C112" t="s">
        <v>113</v>
      </c>
      <c r="D112">
        <v>0</v>
      </c>
      <c r="E112">
        <v>100</v>
      </c>
      <c r="F112">
        <v>10</v>
      </c>
      <c r="G112">
        <v>10</v>
      </c>
      <c r="H112">
        <v>10</v>
      </c>
      <c r="I112">
        <v>10</v>
      </c>
      <c r="J112">
        <v>0</v>
      </c>
      <c r="K112" s="5" t="str">
        <f>VLOOKUP(J112,[1]SkillName!$A:$B,2,FALSE)</f>
        <v>無効</v>
      </c>
      <c r="L112">
        <v>0</v>
      </c>
      <c r="M112" s="5" t="str">
        <f>VLOOKUP(L112,[1]SkillName!$A:$B,2,FALSE)</f>
        <v>無効</v>
      </c>
    </row>
    <row r="113" spans="1:13">
      <c r="A113" s="1">
        <f>VLOOKUP(B113,[1]CharaName!$A:$B,2,FALSE)</f>
        <v>0</v>
      </c>
      <c r="B113">
        <v>111</v>
      </c>
      <c r="C113" t="s">
        <v>114</v>
      </c>
      <c r="D113">
        <v>0</v>
      </c>
      <c r="E113">
        <v>100</v>
      </c>
      <c r="F113">
        <v>10</v>
      </c>
      <c r="G113">
        <v>10</v>
      </c>
      <c r="H113">
        <v>10</v>
      </c>
      <c r="I113">
        <v>10</v>
      </c>
      <c r="J113">
        <v>0</v>
      </c>
      <c r="K113" s="5" t="str">
        <f>VLOOKUP(J113,[1]SkillName!$A:$B,2,FALSE)</f>
        <v>無効</v>
      </c>
      <c r="L113">
        <v>0</v>
      </c>
      <c r="M113" s="5" t="str">
        <f>VLOOKUP(L113,[1]SkillName!$A:$B,2,FALSE)</f>
        <v>無効</v>
      </c>
    </row>
    <row r="114" spans="1:13">
      <c r="A114" s="1">
        <f>VLOOKUP(B114,[1]CharaName!$A:$B,2,FALSE)</f>
        <v>0</v>
      </c>
      <c r="B114">
        <v>112</v>
      </c>
      <c r="C114" t="s">
        <v>115</v>
      </c>
      <c r="D114">
        <v>0</v>
      </c>
      <c r="E114">
        <v>100</v>
      </c>
      <c r="F114">
        <v>10</v>
      </c>
      <c r="G114">
        <v>10</v>
      </c>
      <c r="H114">
        <v>10</v>
      </c>
      <c r="I114">
        <v>10</v>
      </c>
      <c r="J114">
        <v>0</v>
      </c>
      <c r="K114" s="5" t="str">
        <f>VLOOKUP(J114,[1]SkillName!$A:$B,2,FALSE)</f>
        <v>無効</v>
      </c>
      <c r="L114">
        <v>0</v>
      </c>
      <c r="M114" s="5" t="str">
        <f>VLOOKUP(L114,[1]SkillName!$A:$B,2,FALSE)</f>
        <v>無効</v>
      </c>
    </row>
    <row r="115" spans="1:13">
      <c r="A115" s="1">
        <f>VLOOKUP(B115,[1]CharaName!$A:$B,2,FALSE)</f>
        <v>0</v>
      </c>
      <c r="B115">
        <v>113</v>
      </c>
      <c r="C115" t="s">
        <v>116</v>
      </c>
      <c r="D115">
        <v>0</v>
      </c>
      <c r="E115">
        <v>100</v>
      </c>
      <c r="F115">
        <v>10</v>
      </c>
      <c r="G115">
        <v>10</v>
      </c>
      <c r="H115">
        <v>10</v>
      </c>
      <c r="I115">
        <v>10</v>
      </c>
      <c r="J115">
        <v>0</v>
      </c>
      <c r="K115" s="5" t="str">
        <f>VLOOKUP(J115,[1]SkillName!$A:$B,2,FALSE)</f>
        <v>無効</v>
      </c>
      <c r="L115">
        <v>0</v>
      </c>
      <c r="M115" s="5" t="str">
        <f>VLOOKUP(L115,[1]SkillName!$A:$B,2,FALSE)</f>
        <v>無効</v>
      </c>
    </row>
    <row r="116" spans="1:13">
      <c r="A116" s="1">
        <f>VLOOKUP(B116,[1]CharaName!$A:$B,2,FALSE)</f>
        <v>0</v>
      </c>
      <c r="B116">
        <v>114</v>
      </c>
      <c r="C116" t="s">
        <v>117</v>
      </c>
      <c r="D116">
        <v>0</v>
      </c>
      <c r="E116">
        <v>100</v>
      </c>
      <c r="F116">
        <v>10</v>
      </c>
      <c r="G116">
        <v>10</v>
      </c>
      <c r="H116">
        <v>10</v>
      </c>
      <c r="I116">
        <v>10</v>
      </c>
      <c r="J116">
        <v>0</v>
      </c>
      <c r="K116" s="5" t="str">
        <f>VLOOKUP(J116,[1]SkillName!$A:$B,2,FALSE)</f>
        <v>無効</v>
      </c>
      <c r="L116">
        <v>0</v>
      </c>
      <c r="M116" s="5" t="str">
        <f>VLOOKUP(L116,[1]SkillName!$A:$B,2,FALSE)</f>
        <v>無効</v>
      </c>
    </row>
    <row r="117" spans="1:13">
      <c r="A117" s="1">
        <f>VLOOKUP(B117,[1]CharaName!$A:$B,2,FALSE)</f>
        <v>0</v>
      </c>
      <c r="B117">
        <v>115</v>
      </c>
      <c r="C117" t="s">
        <v>118</v>
      </c>
      <c r="D117">
        <v>0</v>
      </c>
      <c r="E117">
        <v>100</v>
      </c>
      <c r="F117">
        <v>10</v>
      </c>
      <c r="G117">
        <v>10</v>
      </c>
      <c r="H117">
        <v>10</v>
      </c>
      <c r="I117">
        <v>10</v>
      </c>
      <c r="J117">
        <v>0</v>
      </c>
      <c r="K117" s="5" t="str">
        <f>VLOOKUP(J117,[1]SkillName!$A:$B,2,FALSE)</f>
        <v>無効</v>
      </c>
      <c r="L117">
        <v>0</v>
      </c>
      <c r="M117" s="5" t="str">
        <f>VLOOKUP(L117,[1]SkillName!$A:$B,2,FALSE)</f>
        <v>無効</v>
      </c>
    </row>
    <row r="118" spans="1:13">
      <c r="A118" s="1">
        <f>VLOOKUP(B118,[1]CharaName!$A:$B,2,FALSE)</f>
        <v>0</v>
      </c>
      <c r="B118">
        <v>116</v>
      </c>
      <c r="C118" t="s">
        <v>119</v>
      </c>
      <c r="D118">
        <v>0</v>
      </c>
      <c r="E118">
        <v>100</v>
      </c>
      <c r="F118">
        <v>10</v>
      </c>
      <c r="G118">
        <v>10</v>
      </c>
      <c r="H118">
        <v>10</v>
      </c>
      <c r="I118">
        <v>10</v>
      </c>
      <c r="J118">
        <v>0</v>
      </c>
      <c r="K118" s="5" t="str">
        <f>VLOOKUP(J118,[1]SkillName!$A:$B,2,FALSE)</f>
        <v>無効</v>
      </c>
      <c r="L118">
        <v>0</v>
      </c>
      <c r="M118" s="5" t="str">
        <f>VLOOKUP(L118,[1]SkillName!$A:$B,2,FALSE)</f>
        <v>無効</v>
      </c>
    </row>
    <row r="119" spans="1:13">
      <c r="A119" s="1">
        <f>VLOOKUP(B119,[1]CharaName!$A:$B,2,FALSE)</f>
        <v>0</v>
      </c>
      <c r="B119">
        <v>117</v>
      </c>
      <c r="C119" t="s">
        <v>120</v>
      </c>
      <c r="D119">
        <v>0</v>
      </c>
      <c r="E119">
        <v>100</v>
      </c>
      <c r="F119">
        <v>10</v>
      </c>
      <c r="G119">
        <v>10</v>
      </c>
      <c r="H119">
        <v>10</v>
      </c>
      <c r="I119">
        <v>10</v>
      </c>
      <c r="J119">
        <v>0</v>
      </c>
      <c r="K119" s="5" t="str">
        <f>VLOOKUP(J119,[1]SkillName!$A:$B,2,FALSE)</f>
        <v>無効</v>
      </c>
      <c r="L119">
        <v>0</v>
      </c>
      <c r="M119" s="5" t="str">
        <f>VLOOKUP(L119,[1]SkillName!$A:$B,2,FALSE)</f>
        <v>無効</v>
      </c>
    </row>
    <row r="120" spans="1:13">
      <c r="A120" s="1">
        <f>VLOOKUP(B120,[1]CharaName!$A:$B,2,FALSE)</f>
        <v>0</v>
      </c>
      <c r="B120">
        <v>118</v>
      </c>
      <c r="C120" t="s">
        <v>121</v>
      </c>
      <c r="D120">
        <v>0</v>
      </c>
      <c r="E120">
        <v>100</v>
      </c>
      <c r="F120">
        <v>10</v>
      </c>
      <c r="G120">
        <v>10</v>
      </c>
      <c r="H120">
        <v>10</v>
      </c>
      <c r="I120">
        <v>10</v>
      </c>
      <c r="J120">
        <v>0</v>
      </c>
      <c r="K120" s="5" t="str">
        <f>VLOOKUP(J120,[1]SkillName!$A:$B,2,FALSE)</f>
        <v>無効</v>
      </c>
      <c r="L120">
        <v>0</v>
      </c>
      <c r="M120" s="5" t="str">
        <f>VLOOKUP(L120,[1]SkillName!$A:$B,2,FALSE)</f>
        <v>無効</v>
      </c>
    </row>
    <row r="121" spans="1:13">
      <c r="A121" s="1">
        <f>VLOOKUP(B121,[1]CharaName!$A:$B,2,FALSE)</f>
        <v>0</v>
      </c>
      <c r="B121">
        <v>119</v>
      </c>
      <c r="C121" t="s">
        <v>122</v>
      </c>
      <c r="D121">
        <v>0</v>
      </c>
      <c r="E121">
        <v>100</v>
      </c>
      <c r="F121">
        <v>10</v>
      </c>
      <c r="G121">
        <v>10</v>
      </c>
      <c r="H121">
        <v>10</v>
      </c>
      <c r="I121">
        <v>10</v>
      </c>
      <c r="J121">
        <v>0</v>
      </c>
      <c r="K121" s="5" t="str">
        <f>VLOOKUP(J121,[1]SkillName!$A:$B,2,FALSE)</f>
        <v>無効</v>
      </c>
      <c r="L121">
        <v>0</v>
      </c>
      <c r="M121" s="5" t="str">
        <f>VLOOKUP(L121,[1]SkillName!$A:$B,2,FALSE)</f>
        <v>無効</v>
      </c>
    </row>
    <row r="122" spans="1:13">
      <c r="A122" s="1">
        <f>VLOOKUP(B122,[1]CharaName!$A:$B,2,FALSE)</f>
        <v>0</v>
      </c>
      <c r="B122">
        <v>120</v>
      </c>
      <c r="C122" t="s">
        <v>123</v>
      </c>
      <c r="D122">
        <v>0</v>
      </c>
      <c r="E122">
        <v>100</v>
      </c>
      <c r="F122">
        <v>10</v>
      </c>
      <c r="G122">
        <v>10</v>
      </c>
      <c r="H122">
        <v>10</v>
      </c>
      <c r="I122">
        <v>10</v>
      </c>
      <c r="J122">
        <v>0</v>
      </c>
      <c r="K122" s="5" t="str">
        <f>VLOOKUP(J122,[1]SkillName!$A:$B,2,FALSE)</f>
        <v>無効</v>
      </c>
      <c r="L122">
        <v>0</v>
      </c>
      <c r="M122" s="5" t="str">
        <f>VLOOKUP(L122,[1]SkillName!$A:$B,2,FALSE)</f>
        <v>無効</v>
      </c>
    </row>
    <row r="123" spans="1:13">
      <c r="A123" s="1">
        <f>VLOOKUP(B123,[1]CharaName!$A:$B,2,FALSE)</f>
        <v>0</v>
      </c>
      <c r="B123">
        <v>121</v>
      </c>
      <c r="C123" t="s">
        <v>124</v>
      </c>
      <c r="D123">
        <v>0</v>
      </c>
      <c r="E123">
        <v>100</v>
      </c>
      <c r="F123">
        <v>10</v>
      </c>
      <c r="G123">
        <v>10</v>
      </c>
      <c r="H123">
        <v>10</v>
      </c>
      <c r="I123">
        <v>10</v>
      </c>
      <c r="J123">
        <v>0</v>
      </c>
      <c r="K123" s="5" t="str">
        <f>VLOOKUP(J123,[1]SkillName!$A:$B,2,FALSE)</f>
        <v>無効</v>
      </c>
      <c r="L123">
        <v>0</v>
      </c>
      <c r="M123" s="5" t="str">
        <f>VLOOKUP(L123,[1]SkillName!$A:$B,2,FALSE)</f>
        <v>無効</v>
      </c>
    </row>
    <row r="124" spans="1:13">
      <c r="A124" s="1">
        <f>VLOOKUP(B124,[1]CharaName!$A:$B,2,FALSE)</f>
        <v>0</v>
      </c>
      <c r="B124">
        <v>122</v>
      </c>
      <c r="C124" t="s">
        <v>125</v>
      </c>
      <c r="D124">
        <v>0</v>
      </c>
      <c r="E124">
        <v>100</v>
      </c>
      <c r="F124">
        <v>10</v>
      </c>
      <c r="G124">
        <v>10</v>
      </c>
      <c r="H124">
        <v>10</v>
      </c>
      <c r="I124">
        <v>10</v>
      </c>
      <c r="J124">
        <v>0</v>
      </c>
      <c r="K124" s="5" t="str">
        <f>VLOOKUP(J124,[1]SkillName!$A:$B,2,FALSE)</f>
        <v>無効</v>
      </c>
      <c r="L124">
        <v>0</v>
      </c>
      <c r="M124" s="5" t="str">
        <f>VLOOKUP(L124,[1]SkillName!$A:$B,2,FALSE)</f>
        <v>無効</v>
      </c>
    </row>
    <row r="125" spans="1:13">
      <c r="A125" s="1">
        <f>VLOOKUP(B125,[1]CharaName!$A:$B,2,FALSE)</f>
        <v>0</v>
      </c>
      <c r="B125">
        <v>123</v>
      </c>
      <c r="C125" t="s">
        <v>126</v>
      </c>
      <c r="D125">
        <v>0</v>
      </c>
      <c r="E125">
        <v>100</v>
      </c>
      <c r="F125">
        <v>10</v>
      </c>
      <c r="G125">
        <v>10</v>
      </c>
      <c r="H125">
        <v>10</v>
      </c>
      <c r="I125">
        <v>10</v>
      </c>
      <c r="J125">
        <v>0</v>
      </c>
      <c r="K125" s="5" t="str">
        <f>VLOOKUP(J125,[1]SkillName!$A:$B,2,FALSE)</f>
        <v>無効</v>
      </c>
      <c r="L125">
        <v>0</v>
      </c>
      <c r="M125" s="5" t="str">
        <f>VLOOKUP(L125,[1]SkillName!$A:$B,2,FALSE)</f>
        <v>無効</v>
      </c>
    </row>
    <row r="126" spans="1:13">
      <c r="A126" s="1">
        <f>VLOOKUP(B126,[1]CharaName!$A:$B,2,FALSE)</f>
        <v>0</v>
      </c>
      <c r="B126">
        <v>124</v>
      </c>
      <c r="C126" t="s">
        <v>127</v>
      </c>
      <c r="D126">
        <v>0</v>
      </c>
      <c r="E126">
        <v>100</v>
      </c>
      <c r="F126">
        <v>10</v>
      </c>
      <c r="G126">
        <v>10</v>
      </c>
      <c r="H126">
        <v>10</v>
      </c>
      <c r="I126">
        <v>10</v>
      </c>
      <c r="J126">
        <v>0</v>
      </c>
      <c r="K126" s="5" t="str">
        <f>VLOOKUP(J126,[1]SkillName!$A:$B,2,FALSE)</f>
        <v>無効</v>
      </c>
      <c r="L126">
        <v>0</v>
      </c>
      <c r="M126" s="5" t="str">
        <f>VLOOKUP(L126,[1]SkillName!$A:$B,2,FALSE)</f>
        <v>無効</v>
      </c>
    </row>
    <row r="127" spans="1:13">
      <c r="A127" s="1">
        <f>VLOOKUP(B127,[1]CharaName!$A:$B,2,FALSE)</f>
        <v>0</v>
      </c>
      <c r="B127">
        <v>125</v>
      </c>
      <c r="C127" t="s">
        <v>128</v>
      </c>
      <c r="D127">
        <v>0</v>
      </c>
      <c r="E127">
        <v>100</v>
      </c>
      <c r="F127">
        <v>10</v>
      </c>
      <c r="G127">
        <v>10</v>
      </c>
      <c r="H127">
        <v>10</v>
      </c>
      <c r="I127">
        <v>10</v>
      </c>
      <c r="J127">
        <v>0</v>
      </c>
      <c r="K127" s="5" t="str">
        <f>VLOOKUP(J127,[1]SkillName!$A:$B,2,FALSE)</f>
        <v>無効</v>
      </c>
      <c r="L127">
        <v>0</v>
      </c>
      <c r="M127" s="5" t="str">
        <f>VLOOKUP(L127,[1]SkillName!$A:$B,2,FALSE)</f>
        <v>無効</v>
      </c>
    </row>
    <row r="128" spans="1:13">
      <c r="A128" s="1">
        <f>VLOOKUP(B128,[1]CharaName!$A:$B,2,FALSE)</f>
        <v>0</v>
      </c>
      <c r="B128">
        <v>126</v>
      </c>
      <c r="C128" t="s">
        <v>129</v>
      </c>
      <c r="D128">
        <v>0</v>
      </c>
      <c r="E128">
        <v>100</v>
      </c>
      <c r="F128">
        <v>10</v>
      </c>
      <c r="G128">
        <v>10</v>
      </c>
      <c r="H128">
        <v>10</v>
      </c>
      <c r="I128">
        <v>10</v>
      </c>
      <c r="J128">
        <v>0</v>
      </c>
      <c r="K128" s="5" t="str">
        <f>VLOOKUP(J128,[1]SkillName!$A:$B,2,FALSE)</f>
        <v>無効</v>
      </c>
      <c r="L128">
        <v>0</v>
      </c>
      <c r="M128" s="5" t="str">
        <f>VLOOKUP(L128,[1]SkillName!$A:$B,2,FALSE)</f>
        <v>無効</v>
      </c>
    </row>
    <row r="129" spans="1:13">
      <c r="A129" s="1">
        <f>VLOOKUP(B129,[1]CharaName!$A:$B,2,FALSE)</f>
        <v>0</v>
      </c>
      <c r="B129">
        <v>127</v>
      </c>
      <c r="C129" t="s">
        <v>130</v>
      </c>
      <c r="D129">
        <v>0</v>
      </c>
      <c r="E129">
        <v>100</v>
      </c>
      <c r="F129">
        <v>10</v>
      </c>
      <c r="G129">
        <v>10</v>
      </c>
      <c r="H129">
        <v>10</v>
      </c>
      <c r="I129">
        <v>10</v>
      </c>
      <c r="J129">
        <v>0</v>
      </c>
      <c r="K129" s="5" t="str">
        <f>VLOOKUP(J129,[1]SkillName!$A:$B,2,FALSE)</f>
        <v>無効</v>
      </c>
      <c r="L129">
        <v>0</v>
      </c>
      <c r="M129" s="5" t="str">
        <f>VLOOKUP(L129,[1]SkillName!$A:$B,2,FALSE)</f>
        <v>無効</v>
      </c>
    </row>
    <row r="130" spans="1:13">
      <c r="A130" s="1">
        <f>VLOOKUP(B130,[1]CharaName!$A:$B,2,FALSE)</f>
        <v>0</v>
      </c>
      <c r="B130">
        <v>128</v>
      </c>
      <c r="C130" t="s">
        <v>131</v>
      </c>
      <c r="D130">
        <v>0</v>
      </c>
      <c r="E130">
        <v>100</v>
      </c>
      <c r="F130">
        <v>10</v>
      </c>
      <c r="G130">
        <v>10</v>
      </c>
      <c r="H130">
        <v>10</v>
      </c>
      <c r="I130">
        <v>10</v>
      </c>
      <c r="J130">
        <v>0</v>
      </c>
      <c r="K130" s="5" t="str">
        <f>VLOOKUP(J130,[1]SkillName!$A:$B,2,FALSE)</f>
        <v>無効</v>
      </c>
      <c r="L130">
        <v>0</v>
      </c>
      <c r="M130" s="5" t="str">
        <f>VLOOKUP(L130,[1]SkillName!$A:$B,2,FALSE)</f>
        <v>無効</v>
      </c>
    </row>
    <row r="131" spans="1:13">
      <c r="A131" s="1">
        <f>VLOOKUP(B131,[1]CharaName!$A:$B,2,FALSE)</f>
        <v>0</v>
      </c>
      <c r="B131">
        <v>129</v>
      </c>
      <c r="C131" t="s">
        <v>132</v>
      </c>
      <c r="D131">
        <v>0</v>
      </c>
      <c r="E131">
        <v>100</v>
      </c>
      <c r="F131">
        <v>10</v>
      </c>
      <c r="G131">
        <v>10</v>
      </c>
      <c r="H131">
        <v>10</v>
      </c>
      <c r="I131">
        <v>10</v>
      </c>
      <c r="J131">
        <v>0</v>
      </c>
      <c r="K131" s="5" t="str">
        <f>VLOOKUP(J131,[1]SkillName!$A:$B,2,FALSE)</f>
        <v>無効</v>
      </c>
      <c r="L131">
        <v>0</v>
      </c>
      <c r="M131" s="5" t="str">
        <f>VLOOKUP(L131,[1]SkillName!$A:$B,2,FALSE)</f>
        <v>無効</v>
      </c>
    </row>
    <row r="132" spans="1:13">
      <c r="A132" s="1">
        <f>VLOOKUP(B132,[1]CharaName!$A:$B,2,FALSE)</f>
        <v>0</v>
      </c>
      <c r="B132">
        <v>130</v>
      </c>
      <c r="C132" t="s">
        <v>133</v>
      </c>
      <c r="D132">
        <v>0</v>
      </c>
      <c r="E132">
        <v>100</v>
      </c>
      <c r="F132">
        <v>10</v>
      </c>
      <c r="G132">
        <v>10</v>
      </c>
      <c r="H132">
        <v>10</v>
      </c>
      <c r="I132">
        <v>10</v>
      </c>
      <c r="J132">
        <v>0</v>
      </c>
      <c r="K132" s="5" t="str">
        <f>VLOOKUP(J132,[1]SkillName!$A:$B,2,FALSE)</f>
        <v>無効</v>
      </c>
      <c r="L132">
        <v>0</v>
      </c>
      <c r="M132" s="5" t="str">
        <f>VLOOKUP(L132,[1]SkillName!$A:$B,2,FALSE)</f>
        <v>無効</v>
      </c>
    </row>
    <row r="133" spans="1:13">
      <c r="A133" s="1">
        <f>VLOOKUP(B133,[1]CharaName!$A:$B,2,FALSE)</f>
        <v>0</v>
      </c>
      <c r="B133">
        <v>131</v>
      </c>
      <c r="C133" t="s">
        <v>134</v>
      </c>
      <c r="D133">
        <v>0</v>
      </c>
      <c r="E133">
        <v>100</v>
      </c>
      <c r="F133">
        <v>10</v>
      </c>
      <c r="G133">
        <v>10</v>
      </c>
      <c r="H133">
        <v>10</v>
      </c>
      <c r="I133">
        <v>10</v>
      </c>
      <c r="J133">
        <v>0</v>
      </c>
      <c r="K133" s="5" t="str">
        <f>VLOOKUP(J133,[1]SkillName!$A:$B,2,FALSE)</f>
        <v>無効</v>
      </c>
      <c r="L133">
        <v>0</v>
      </c>
      <c r="M133" s="5" t="str">
        <f>VLOOKUP(L133,[1]SkillName!$A:$B,2,FALSE)</f>
        <v>無効</v>
      </c>
    </row>
    <row r="134" spans="1:13">
      <c r="A134" s="1">
        <f>VLOOKUP(B134,[1]CharaName!$A:$B,2,FALSE)</f>
        <v>0</v>
      </c>
      <c r="B134">
        <v>132</v>
      </c>
      <c r="C134" t="s">
        <v>135</v>
      </c>
      <c r="D134">
        <v>0</v>
      </c>
      <c r="E134">
        <v>100</v>
      </c>
      <c r="F134">
        <v>10</v>
      </c>
      <c r="G134">
        <v>10</v>
      </c>
      <c r="H134">
        <v>10</v>
      </c>
      <c r="I134">
        <v>10</v>
      </c>
      <c r="J134">
        <v>0</v>
      </c>
      <c r="K134" s="5" t="str">
        <f>VLOOKUP(J134,[1]SkillName!$A:$B,2,FALSE)</f>
        <v>無効</v>
      </c>
      <c r="L134">
        <v>0</v>
      </c>
      <c r="M134" s="5" t="str">
        <f>VLOOKUP(L134,[1]SkillName!$A:$B,2,FALSE)</f>
        <v>無効</v>
      </c>
    </row>
    <row r="135" spans="1:13">
      <c r="A135" s="1">
        <f>VLOOKUP(B135,[1]CharaName!$A:$B,2,FALSE)</f>
        <v>0</v>
      </c>
      <c r="B135">
        <v>133</v>
      </c>
      <c r="C135" t="s">
        <v>136</v>
      </c>
      <c r="D135">
        <v>0</v>
      </c>
      <c r="E135">
        <v>100</v>
      </c>
      <c r="F135">
        <v>10</v>
      </c>
      <c r="G135">
        <v>10</v>
      </c>
      <c r="H135">
        <v>10</v>
      </c>
      <c r="I135">
        <v>10</v>
      </c>
      <c r="J135">
        <v>0</v>
      </c>
      <c r="K135" s="5" t="str">
        <f>VLOOKUP(J135,[1]SkillName!$A:$B,2,FALSE)</f>
        <v>無効</v>
      </c>
      <c r="L135">
        <v>0</v>
      </c>
      <c r="M135" s="5" t="str">
        <f>VLOOKUP(L135,[1]SkillName!$A:$B,2,FALSE)</f>
        <v>無効</v>
      </c>
    </row>
    <row r="136" spans="1:13">
      <c r="A136" s="1">
        <f>VLOOKUP(B136,[1]CharaName!$A:$B,2,FALSE)</f>
        <v>0</v>
      </c>
      <c r="B136">
        <v>134</v>
      </c>
      <c r="C136" t="s">
        <v>137</v>
      </c>
      <c r="D136">
        <v>0</v>
      </c>
      <c r="E136">
        <v>100</v>
      </c>
      <c r="F136">
        <v>10</v>
      </c>
      <c r="G136">
        <v>10</v>
      </c>
      <c r="H136">
        <v>10</v>
      </c>
      <c r="I136">
        <v>10</v>
      </c>
      <c r="J136">
        <v>0</v>
      </c>
      <c r="K136" s="5" t="str">
        <f>VLOOKUP(J136,[1]SkillName!$A:$B,2,FALSE)</f>
        <v>無効</v>
      </c>
      <c r="L136">
        <v>0</v>
      </c>
      <c r="M136" s="5" t="str">
        <f>VLOOKUP(L136,[1]SkillName!$A:$B,2,FALSE)</f>
        <v>無効</v>
      </c>
    </row>
    <row r="137" spans="1:13">
      <c r="A137" s="1">
        <f>VLOOKUP(B137,[1]CharaName!$A:$B,2,FALSE)</f>
        <v>0</v>
      </c>
      <c r="B137">
        <v>135</v>
      </c>
      <c r="C137" t="s">
        <v>138</v>
      </c>
      <c r="D137">
        <v>0</v>
      </c>
      <c r="E137">
        <v>100</v>
      </c>
      <c r="F137">
        <v>10</v>
      </c>
      <c r="G137">
        <v>10</v>
      </c>
      <c r="H137">
        <v>10</v>
      </c>
      <c r="I137">
        <v>10</v>
      </c>
      <c r="J137">
        <v>0</v>
      </c>
      <c r="K137" s="5" t="str">
        <f>VLOOKUP(J137,[1]SkillName!$A:$B,2,FALSE)</f>
        <v>無効</v>
      </c>
      <c r="L137">
        <v>0</v>
      </c>
      <c r="M137" s="5" t="str">
        <f>VLOOKUP(L137,[1]SkillName!$A:$B,2,FALSE)</f>
        <v>無効</v>
      </c>
    </row>
    <row r="138" spans="1:13">
      <c r="A138" s="1">
        <f>VLOOKUP(B138,[1]CharaName!$A:$B,2,FALSE)</f>
        <v>0</v>
      </c>
      <c r="B138">
        <v>136</v>
      </c>
      <c r="C138" t="s">
        <v>139</v>
      </c>
      <c r="D138">
        <v>0</v>
      </c>
      <c r="E138">
        <v>100</v>
      </c>
      <c r="F138">
        <v>10</v>
      </c>
      <c r="G138">
        <v>10</v>
      </c>
      <c r="H138">
        <v>10</v>
      </c>
      <c r="I138">
        <v>10</v>
      </c>
      <c r="J138">
        <v>0</v>
      </c>
      <c r="K138" s="5" t="str">
        <f>VLOOKUP(J138,[1]SkillName!$A:$B,2,FALSE)</f>
        <v>無効</v>
      </c>
      <c r="L138">
        <v>0</v>
      </c>
      <c r="M138" s="5" t="str">
        <f>VLOOKUP(L138,[1]SkillName!$A:$B,2,FALSE)</f>
        <v>無効</v>
      </c>
    </row>
    <row r="139" spans="1:13">
      <c r="A139" s="1">
        <f>VLOOKUP(B139,[1]CharaName!$A:$B,2,FALSE)</f>
        <v>0</v>
      </c>
      <c r="B139">
        <v>137</v>
      </c>
      <c r="C139" t="s">
        <v>140</v>
      </c>
      <c r="D139">
        <v>0</v>
      </c>
      <c r="E139">
        <v>100</v>
      </c>
      <c r="F139">
        <v>10</v>
      </c>
      <c r="G139">
        <v>10</v>
      </c>
      <c r="H139">
        <v>10</v>
      </c>
      <c r="I139">
        <v>10</v>
      </c>
      <c r="J139">
        <v>0</v>
      </c>
      <c r="K139" s="5" t="str">
        <f>VLOOKUP(J139,[1]SkillName!$A:$B,2,FALSE)</f>
        <v>無効</v>
      </c>
      <c r="L139">
        <v>0</v>
      </c>
      <c r="M139" s="5" t="str">
        <f>VLOOKUP(L139,[1]SkillName!$A:$B,2,FALSE)</f>
        <v>無効</v>
      </c>
    </row>
    <row r="140" spans="1:13">
      <c r="A140" s="1">
        <f>VLOOKUP(B140,[1]CharaName!$A:$B,2,FALSE)</f>
        <v>0</v>
      </c>
      <c r="B140">
        <v>138</v>
      </c>
      <c r="C140" t="s">
        <v>141</v>
      </c>
      <c r="D140">
        <v>0</v>
      </c>
      <c r="E140">
        <v>100</v>
      </c>
      <c r="F140">
        <v>10</v>
      </c>
      <c r="G140">
        <v>10</v>
      </c>
      <c r="H140">
        <v>10</v>
      </c>
      <c r="I140">
        <v>10</v>
      </c>
      <c r="J140">
        <v>0</v>
      </c>
      <c r="K140" s="5" t="str">
        <f>VLOOKUP(J140,[1]SkillName!$A:$B,2,FALSE)</f>
        <v>無効</v>
      </c>
      <c r="L140">
        <v>0</v>
      </c>
      <c r="M140" s="5" t="str">
        <f>VLOOKUP(L140,[1]SkillName!$A:$B,2,FALSE)</f>
        <v>無効</v>
      </c>
    </row>
    <row r="141" spans="1:13">
      <c r="A141" s="1">
        <f>VLOOKUP(B141,[1]CharaName!$A:$B,2,FALSE)</f>
        <v>0</v>
      </c>
      <c r="B141">
        <v>139</v>
      </c>
      <c r="C141" t="s">
        <v>142</v>
      </c>
      <c r="D141">
        <v>0</v>
      </c>
      <c r="E141">
        <v>100</v>
      </c>
      <c r="F141">
        <v>10</v>
      </c>
      <c r="G141">
        <v>10</v>
      </c>
      <c r="H141">
        <v>10</v>
      </c>
      <c r="I141">
        <v>10</v>
      </c>
      <c r="J141">
        <v>0</v>
      </c>
      <c r="K141" s="5" t="str">
        <f>VLOOKUP(J141,[1]SkillName!$A:$B,2,FALSE)</f>
        <v>無効</v>
      </c>
      <c r="L141">
        <v>0</v>
      </c>
      <c r="M141" s="5" t="str">
        <f>VLOOKUP(L141,[1]SkillName!$A:$B,2,FALSE)</f>
        <v>無効</v>
      </c>
    </row>
    <row r="142" spans="1:13">
      <c r="A142" s="1">
        <f>VLOOKUP(B142,[1]CharaName!$A:$B,2,FALSE)</f>
        <v>0</v>
      </c>
      <c r="B142">
        <v>140</v>
      </c>
      <c r="C142" t="s">
        <v>143</v>
      </c>
      <c r="D142">
        <v>0</v>
      </c>
      <c r="E142">
        <v>100</v>
      </c>
      <c r="F142">
        <v>10</v>
      </c>
      <c r="G142">
        <v>10</v>
      </c>
      <c r="H142">
        <v>10</v>
      </c>
      <c r="I142">
        <v>10</v>
      </c>
      <c r="J142">
        <v>0</v>
      </c>
      <c r="K142" s="5" t="str">
        <f>VLOOKUP(J142,[1]SkillName!$A:$B,2,FALSE)</f>
        <v>無効</v>
      </c>
      <c r="L142">
        <v>0</v>
      </c>
      <c r="M142" s="5" t="str">
        <f>VLOOKUP(L142,[1]SkillName!$A:$B,2,FALSE)</f>
        <v>無効</v>
      </c>
    </row>
    <row r="143" spans="1:13">
      <c r="A143" s="1">
        <f>VLOOKUP(B143,[1]CharaName!$A:$B,2,FALSE)</f>
        <v>0</v>
      </c>
      <c r="B143">
        <v>141</v>
      </c>
      <c r="C143" t="s">
        <v>144</v>
      </c>
      <c r="D143">
        <v>0</v>
      </c>
      <c r="E143">
        <v>100</v>
      </c>
      <c r="F143">
        <v>10</v>
      </c>
      <c r="G143">
        <v>10</v>
      </c>
      <c r="H143">
        <v>10</v>
      </c>
      <c r="I143">
        <v>10</v>
      </c>
      <c r="J143">
        <v>0</v>
      </c>
      <c r="K143" s="5" t="str">
        <f>VLOOKUP(J143,[1]SkillName!$A:$B,2,FALSE)</f>
        <v>無効</v>
      </c>
      <c r="L143">
        <v>0</v>
      </c>
      <c r="M143" s="5" t="str">
        <f>VLOOKUP(L143,[1]SkillName!$A:$B,2,FALSE)</f>
        <v>無効</v>
      </c>
    </row>
    <row r="144" spans="1:13">
      <c r="A144" s="1">
        <f>VLOOKUP(B144,[1]CharaName!$A:$B,2,FALSE)</f>
        <v>0</v>
      </c>
      <c r="B144">
        <v>142</v>
      </c>
      <c r="C144" t="s">
        <v>145</v>
      </c>
      <c r="D144">
        <v>0</v>
      </c>
      <c r="E144">
        <v>100</v>
      </c>
      <c r="F144">
        <v>10</v>
      </c>
      <c r="G144">
        <v>10</v>
      </c>
      <c r="H144">
        <v>10</v>
      </c>
      <c r="I144">
        <v>10</v>
      </c>
      <c r="J144">
        <v>0</v>
      </c>
      <c r="K144" s="5" t="str">
        <f>VLOOKUP(J144,[1]SkillName!$A:$B,2,FALSE)</f>
        <v>無効</v>
      </c>
      <c r="L144">
        <v>0</v>
      </c>
      <c r="M144" s="5" t="str">
        <f>VLOOKUP(L144,[1]SkillName!$A:$B,2,FALSE)</f>
        <v>無効</v>
      </c>
    </row>
    <row r="145" spans="1:13">
      <c r="A145" s="1">
        <f>VLOOKUP(B145,[1]CharaName!$A:$B,2,FALSE)</f>
        <v>0</v>
      </c>
      <c r="B145">
        <v>143</v>
      </c>
      <c r="C145" t="s">
        <v>146</v>
      </c>
      <c r="D145">
        <v>0</v>
      </c>
      <c r="E145">
        <v>100</v>
      </c>
      <c r="F145">
        <v>10</v>
      </c>
      <c r="G145">
        <v>10</v>
      </c>
      <c r="H145">
        <v>10</v>
      </c>
      <c r="I145">
        <v>10</v>
      </c>
      <c r="J145">
        <v>0</v>
      </c>
      <c r="K145" s="5" t="str">
        <f>VLOOKUP(J145,[1]SkillName!$A:$B,2,FALSE)</f>
        <v>無効</v>
      </c>
      <c r="L145">
        <v>0</v>
      </c>
      <c r="M145" s="5" t="str">
        <f>VLOOKUP(L145,[1]SkillName!$A:$B,2,FALSE)</f>
        <v>無効</v>
      </c>
    </row>
    <row r="146" spans="1:13">
      <c r="A146" s="1">
        <f>VLOOKUP(B146,[1]CharaName!$A:$B,2,FALSE)</f>
        <v>0</v>
      </c>
      <c r="B146">
        <v>144</v>
      </c>
      <c r="C146" t="s">
        <v>147</v>
      </c>
      <c r="D146">
        <v>0</v>
      </c>
      <c r="E146">
        <v>100</v>
      </c>
      <c r="F146">
        <v>10</v>
      </c>
      <c r="G146">
        <v>10</v>
      </c>
      <c r="H146">
        <v>10</v>
      </c>
      <c r="I146">
        <v>10</v>
      </c>
      <c r="J146">
        <v>0</v>
      </c>
      <c r="K146" s="5" t="str">
        <f>VLOOKUP(J146,[1]SkillName!$A:$B,2,FALSE)</f>
        <v>無効</v>
      </c>
      <c r="L146">
        <v>0</v>
      </c>
      <c r="M146" s="5" t="str">
        <f>VLOOKUP(L146,[1]SkillName!$A:$B,2,FALSE)</f>
        <v>無効</v>
      </c>
    </row>
    <row r="147" spans="1:13">
      <c r="A147" s="1">
        <f>VLOOKUP(B147,[1]CharaName!$A:$B,2,FALSE)</f>
        <v>0</v>
      </c>
      <c r="B147">
        <v>145</v>
      </c>
      <c r="C147" t="s">
        <v>148</v>
      </c>
      <c r="D147">
        <v>0</v>
      </c>
      <c r="E147">
        <v>100</v>
      </c>
      <c r="F147">
        <v>10</v>
      </c>
      <c r="G147">
        <v>10</v>
      </c>
      <c r="H147">
        <v>10</v>
      </c>
      <c r="I147">
        <v>10</v>
      </c>
      <c r="J147">
        <v>0</v>
      </c>
      <c r="K147" s="5" t="str">
        <f>VLOOKUP(J147,[1]SkillName!$A:$B,2,FALSE)</f>
        <v>無効</v>
      </c>
      <c r="L147">
        <v>0</v>
      </c>
      <c r="M147" s="5" t="str">
        <f>VLOOKUP(L147,[1]SkillName!$A:$B,2,FALSE)</f>
        <v>無効</v>
      </c>
    </row>
    <row r="148" spans="1:13">
      <c r="A148" s="1">
        <f>VLOOKUP(B148,[1]CharaName!$A:$B,2,FALSE)</f>
        <v>0</v>
      </c>
      <c r="B148">
        <v>146</v>
      </c>
      <c r="C148" t="s">
        <v>149</v>
      </c>
      <c r="D148">
        <v>0</v>
      </c>
      <c r="E148">
        <v>100</v>
      </c>
      <c r="F148">
        <v>10</v>
      </c>
      <c r="G148">
        <v>10</v>
      </c>
      <c r="H148">
        <v>10</v>
      </c>
      <c r="I148">
        <v>10</v>
      </c>
      <c r="J148">
        <v>0</v>
      </c>
      <c r="K148" s="5" t="str">
        <f>VLOOKUP(J148,[1]SkillName!$A:$B,2,FALSE)</f>
        <v>無効</v>
      </c>
      <c r="L148">
        <v>0</v>
      </c>
      <c r="M148" s="5" t="str">
        <f>VLOOKUP(L148,[1]SkillName!$A:$B,2,FALSE)</f>
        <v>無効</v>
      </c>
    </row>
    <row r="149" spans="1:13">
      <c r="A149" s="1">
        <f>VLOOKUP(B149,[1]CharaName!$A:$B,2,FALSE)</f>
        <v>0</v>
      </c>
      <c r="B149">
        <v>147</v>
      </c>
      <c r="C149" t="s">
        <v>150</v>
      </c>
      <c r="D149">
        <v>0</v>
      </c>
      <c r="E149">
        <v>100</v>
      </c>
      <c r="F149">
        <v>10</v>
      </c>
      <c r="G149">
        <v>10</v>
      </c>
      <c r="H149">
        <v>10</v>
      </c>
      <c r="I149">
        <v>10</v>
      </c>
      <c r="J149">
        <v>0</v>
      </c>
      <c r="K149" s="5" t="str">
        <f>VLOOKUP(J149,[1]SkillName!$A:$B,2,FALSE)</f>
        <v>無効</v>
      </c>
      <c r="L149">
        <v>0</v>
      </c>
      <c r="M149" s="5" t="str">
        <f>VLOOKUP(L149,[1]SkillName!$A:$B,2,FALSE)</f>
        <v>無効</v>
      </c>
    </row>
    <row r="150" spans="1:13">
      <c r="A150" s="1">
        <f>VLOOKUP(B150,[1]CharaName!$A:$B,2,FALSE)</f>
        <v>0</v>
      </c>
      <c r="B150">
        <v>148</v>
      </c>
      <c r="C150" t="s">
        <v>151</v>
      </c>
      <c r="D150">
        <v>0</v>
      </c>
      <c r="E150">
        <v>100</v>
      </c>
      <c r="F150">
        <v>10</v>
      </c>
      <c r="G150">
        <v>10</v>
      </c>
      <c r="H150">
        <v>10</v>
      </c>
      <c r="I150">
        <v>10</v>
      </c>
      <c r="J150">
        <v>0</v>
      </c>
      <c r="K150" s="5" t="str">
        <f>VLOOKUP(J150,[1]SkillName!$A:$B,2,FALSE)</f>
        <v>無効</v>
      </c>
      <c r="L150">
        <v>0</v>
      </c>
      <c r="M150" s="5" t="str">
        <f>VLOOKUP(L150,[1]SkillName!$A:$B,2,FALSE)</f>
        <v>無効</v>
      </c>
    </row>
    <row r="151" spans="1:13">
      <c r="A151" s="1">
        <f>VLOOKUP(B151,[1]CharaName!$A:$B,2,FALSE)</f>
        <v>0</v>
      </c>
      <c r="B151">
        <v>149</v>
      </c>
      <c r="C151" t="s">
        <v>152</v>
      </c>
      <c r="D151">
        <v>0</v>
      </c>
      <c r="E151">
        <v>100</v>
      </c>
      <c r="F151">
        <v>10</v>
      </c>
      <c r="G151">
        <v>10</v>
      </c>
      <c r="H151">
        <v>10</v>
      </c>
      <c r="I151">
        <v>10</v>
      </c>
      <c r="J151">
        <v>0</v>
      </c>
      <c r="K151" s="5" t="str">
        <f>VLOOKUP(J151,[1]SkillName!$A:$B,2,FALSE)</f>
        <v>無効</v>
      </c>
      <c r="L151">
        <v>0</v>
      </c>
      <c r="M151" s="5" t="str">
        <f>VLOOKUP(L151,[1]SkillName!$A:$B,2,FALSE)</f>
        <v>無効</v>
      </c>
    </row>
    <row r="152" spans="1:13">
      <c r="A152" s="1">
        <f>VLOOKUP(B152,[1]CharaName!$A:$B,2,FALSE)</f>
        <v>0</v>
      </c>
      <c r="B152">
        <v>150</v>
      </c>
      <c r="C152" t="s">
        <v>153</v>
      </c>
      <c r="D152">
        <v>0</v>
      </c>
      <c r="E152">
        <v>100</v>
      </c>
      <c r="F152">
        <v>10</v>
      </c>
      <c r="G152">
        <v>10</v>
      </c>
      <c r="H152">
        <v>10</v>
      </c>
      <c r="I152">
        <v>10</v>
      </c>
      <c r="J152">
        <v>0</v>
      </c>
      <c r="K152" s="5" t="str">
        <f>VLOOKUP(J152,[1]SkillName!$A:$B,2,FALSE)</f>
        <v>無効</v>
      </c>
      <c r="L152">
        <v>0</v>
      </c>
      <c r="M152" s="5" t="str">
        <f>VLOOKUP(L152,[1]SkillName!$A:$B,2,FALSE)</f>
        <v>無効</v>
      </c>
    </row>
    <row r="153" spans="1:13">
      <c r="A153" s="1">
        <f>VLOOKUP(B153,[1]CharaName!$A:$B,2,FALSE)</f>
        <v>0</v>
      </c>
      <c r="B153">
        <v>151</v>
      </c>
      <c r="C153" t="s">
        <v>154</v>
      </c>
      <c r="D153">
        <v>0</v>
      </c>
      <c r="E153">
        <v>100</v>
      </c>
      <c r="F153">
        <v>10</v>
      </c>
      <c r="G153">
        <v>10</v>
      </c>
      <c r="H153">
        <v>10</v>
      </c>
      <c r="I153">
        <v>10</v>
      </c>
      <c r="J153">
        <v>0</v>
      </c>
      <c r="K153" s="5" t="str">
        <f>VLOOKUP(J153,[1]SkillName!$A:$B,2,FALSE)</f>
        <v>無効</v>
      </c>
      <c r="L153">
        <v>0</v>
      </c>
      <c r="M153" s="5" t="str">
        <f>VLOOKUP(L153,[1]SkillName!$A:$B,2,FALSE)</f>
        <v>無効</v>
      </c>
    </row>
    <row r="154" spans="1:13">
      <c r="A154" s="1">
        <f>VLOOKUP(B154,[1]CharaName!$A:$B,2,FALSE)</f>
        <v>0</v>
      </c>
      <c r="B154">
        <v>152</v>
      </c>
      <c r="C154" t="s">
        <v>155</v>
      </c>
      <c r="D154">
        <v>0</v>
      </c>
      <c r="E154">
        <v>100</v>
      </c>
      <c r="F154">
        <v>10</v>
      </c>
      <c r="G154">
        <v>10</v>
      </c>
      <c r="H154">
        <v>10</v>
      </c>
      <c r="I154">
        <v>10</v>
      </c>
      <c r="J154">
        <v>0</v>
      </c>
      <c r="K154" s="5" t="str">
        <f>VLOOKUP(J154,[1]SkillName!$A:$B,2,FALSE)</f>
        <v>無効</v>
      </c>
      <c r="L154">
        <v>0</v>
      </c>
      <c r="M154" s="5" t="str">
        <f>VLOOKUP(L154,[1]SkillName!$A:$B,2,FALSE)</f>
        <v>無効</v>
      </c>
    </row>
    <row r="155" spans="1:13">
      <c r="A155" s="1">
        <f>VLOOKUP(B155,[1]CharaName!$A:$B,2,FALSE)</f>
        <v>0</v>
      </c>
      <c r="B155">
        <v>153</v>
      </c>
      <c r="C155" t="s">
        <v>156</v>
      </c>
      <c r="D155">
        <v>0</v>
      </c>
      <c r="E155">
        <v>100</v>
      </c>
      <c r="F155">
        <v>10</v>
      </c>
      <c r="G155">
        <v>10</v>
      </c>
      <c r="H155">
        <v>10</v>
      </c>
      <c r="I155">
        <v>10</v>
      </c>
      <c r="J155">
        <v>0</v>
      </c>
      <c r="K155" s="5" t="str">
        <f>VLOOKUP(J155,[1]SkillName!$A:$B,2,FALSE)</f>
        <v>無効</v>
      </c>
      <c r="L155">
        <v>0</v>
      </c>
      <c r="M155" s="5" t="str">
        <f>VLOOKUP(L155,[1]SkillName!$A:$B,2,FALSE)</f>
        <v>無効</v>
      </c>
    </row>
    <row r="156" spans="1:13">
      <c r="A156" s="1">
        <f>VLOOKUP(B156,[1]CharaName!$A:$B,2,FALSE)</f>
        <v>0</v>
      </c>
      <c r="B156">
        <v>154</v>
      </c>
      <c r="C156" t="s">
        <v>157</v>
      </c>
      <c r="D156">
        <v>0</v>
      </c>
      <c r="E156">
        <v>100</v>
      </c>
      <c r="F156">
        <v>10</v>
      </c>
      <c r="G156">
        <v>10</v>
      </c>
      <c r="H156">
        <v>10</v>
      </c>
      <c r="I156">
        <v>10</v>
      </c>
      <c r="J156">
        <v>0</v>
      </c>
      <c r="K156" s="5" t="str">
        <f>VLOOKUP(J156,[1]SkillName!$A:$B,2,FALSE)</f>
        <v>無効</v>
      </c>
      <c r="L156">
        <v>0</v>
      </c>
      <c r="M156" s="5" t="str">
        <f>VLOOKUP(L156,[1]SkillName!$A:$B,2,FALSE)</f>
        <v>無効</v>
      </c>
    </row>
    <row r="157" spans="1:13">
      <c r="A157" s="1">
        <f>VLOOKUP(B157,[1]CharaName!$A:$B,2,FALSE)</f>
        <v>0</v>
      </c>
      <c r="B157">
        <v>155</v>
      </c>
      <c r="C157" t="s">
        <v>158</v>
      </c>
      <c r="D157">
        <v>0</v>
      </c>
      <c r="E157">
        <v>100</v>
      </c>
      <c r="F157">
        <v>10</v>
      </c>
      <c r="G157">
        <v>10</v>
      </c>
      <c r="H157">
        <v>10</v>
      </c>
      <c r="I157">
        <v>10</v>
      </c>
      <c r="J157">
        <v>0</v>
      </c>
      <c r="K157" s="5" t="str">
        <f>VLOOKUP(J157,[1]SkillName!$A:$B,2,FALSE)</f>
        <v>無効</v>
      </c>
      <c r="L157">
        <v>0</v>
      </c>
      <c r="M157" s="5" t="str">
        <f>VLOOKUP(L157,[1]SkillName!$A:$B,2,FALSE)</f>
        <v>無効</v>
      </c>
    </row>
    <row r="158" spans="1:13">
      <c r="A158" s="1">
        <f>VLOOKUP(B158,[1]CharaName!$A:$B,2,FALSE)</f>
        <v>0</v>
      </c>
      <c r="B158">
        <v>156</v>
      </c>
      <c r="C158" t="s">
        <v>159</v>
      </c>
      <c r="D158">
        <v>0</v>
      </c>
      <c r="E158">
        <v>100</v>
      </c>
      <c r="F158">
        <v>10</v>
      </c>
      <c r="G158">
        <v>10</v>
      </c>
      <c r="H158">
        <v>10</v>
      </c>
      <c r="I158">
        <v>10</v>
      </c>
      <c r="J158">
        <v>0</v>
      </c>
      <c r="K158" s="5" t="str">
        <f>VLOOKUP(J158,[1]SkillName!$A:$B,2,FALSE)</f>
        <v>無効</v>
      </c>
      <c r="L158">
        <v>0</v>
      </c>
      <c r="M158" s="5" t="str">
        <f>VLOOKUP(L158,[1]SkillName!$A:$B,2,FALSE)</f>
        <v>無効</v>
      </c>
    </row>
    <row r="159" spans="1:13">
      <c r="A159" s="1">
        <f>VLOOKUP(B159,[1]CharaName!$A:$B,2,FALSE)</f>
        <v>0</v>
      </c>
      <c r="B159">
        <v>157</v>
      </c>
      <c r="C159" t="s">
        <v>160</v>
      </c>
      <c r="D159">
        <v>0</v>
      </c>
      <c r="E159">
        <v>100</v>
      </c>
      <c r="F159">
        <v>10</v>
      </c>
      <c r="G159">
        <v>10</v>
      </c>
      <c r="H159">
        <v>10</v>
      </c>
      <c r="I159">
        <v>10</v>
      </c>
      <c r="J159">
        <v>0</v>
      </c>
      <c r="K159" s="5" t="str">
        <f>VLOOKUP(J159,[1]SkillName!$A:$B,2,FALSE)</f>
        <v>無効</v>
      </c>
      <c r="L159">
        <v>0</v>
      </c>
      <c r="M159" s="5" t="str">
        <f>VLOOKUP(L159,[1]SkillName!$A:$B,2,FALSE)</f>
        <v>無効</v>
      </c>
    </row>
    <row r="160" spans="1:13">
      <c r="A160" s="1">
        <f>VLOOKUP(B160,[1]CharaName!$A:$B,2,FALSE)</f>
        <v>0</v>
      </c>
      <c r="B160">
        <v>158</v>
      </c>
      <c r="C160" t="s">
        <v>161</v>
      </c>
      <c r="D160">
        <v>0</v>
      </c>
      <c r="E160">
        <v>100</v>
      </c>
      <c r="F160">
        <v>10</v>
      </c>
      <c r="G160">
        <v>10</v>
      </c>
      <c r="H160">
        <v>10</v>
      </c>
      <c r="I160">
        <v>10</v>
      </c>
      <c r="J160">
        <v>0</v>
      </c>
      <c r="K160" s="5" t="str">
        <f>VLOOKUP(J160,[1]SkillName!$A:$B,2,FALSE)</f>
        <v>無効</v>
      </c>
      <c r="L160">
        <v>0</v>
      </c>
      <c r="M160" s="5" t="str">
        <f>VLOOKUP(L160,[1]SkillName!$A:$B,2,FALSE)</f>
        <v>無効</v>
      </c>
    </row>
    <row r="161" spans="1:13">
      <c r="A161" s="1">
        <f>VLOOKUP(B161,[1]CharaName!$A:$B,2,FALSE)</f>
        <v>0</v>
      </c>
      <c r="B161">
        <v>159</v>
      </c>
      <c r="C161" t="s">
        <v>162</v>
      </c>
      <c r="D161">
        <v>0</v>
      </c>
      <c r="E161">
        <v>100</v>
      </c>
      <c r="F161">
        <v>10</v>
      </c>
      <c r="G161">
        <v>10</v>
      </c>
      <c r="H161">
        <v>10</v>
      </c>
      <c r="I161">
        <v>10</v>
      </c>
      <c r="J161">
        <v>0</v>
      </c>
      <c r="K161" s="5" t="str">
        <f>VLOOKUP(J161,[1]SkillName!$A:$B,2,FALSE)</f>
        <v>無効</v>
      </c>
      <c r="L161">
        <v>0</v>
      </c>
      <c r="M161" s="5" t="str">
        <f>VLOOKUP(L161,[1]SkillName!$A:$B,2,FALSE)</f>
        <v>無効</v>
      </c>
    </row>
    <row r="162" spans="1:13">
      <c r="A162" s="1">
        <f>VLOOKUP(B162,[1]CharaName!$A:$B,2,FALSE)</f>
        <v>0</v>
      </c>
      <c r="B162">
        <v>160</v>
      </c>
      <c r="C162" t="s">
        <v>163</v>
      </c>
      <c r="D162">
        <v>0</v>
      </c>
      <c r="E162">
        <v>100</v>
      </c>
      <c r="F162">
        <v>10</v>
      </c>
      <c r="G162">
        <v>10</v>
      </c>
      <c r="H162">
        <v>10</v>
      </c>
      <c r="I162">
        <v>10</v>
      </c>
      <c r="J162">
        <v>0</v>
      </c>
      <c r="K162" s="5" t="str">
        <f>VLOOKUP(J162,[1]SkillName!$A:$B,2,FALSE)</f>
        <v>無効</v>
      </c>
      <c r="L162">
        <v>0</v>
      </c>
      <c r="M162" s="5" t="str">
        <f>VLOOKUP(L162,[1]SkillName!$A:$B,2,FALSE)</f>
        <v>無効</v>
      </c>
    </row>
    <row r="163" spans="1:13">
      <c r="A163" s="1">
        <f>VLOOKUP(B163,[1]CharaName!$A:$B,2,FALSE)</f>
        <v>0</v>
      </c>
      <c r="B163">
        <v>161</v>
      </c>
      <c r="C163" t="s">
        <v>164</v>
      </c>
      <c r="D163">
        <v>0</v>
      </c>
      <c r="E163">
        <v>100</v>
      </c>
      <c r="F163">
        <v>10</v>
      </c>
      <c r="G163">
        <v>10</v>
      </c>
      <c r="H163">
        <v>10</v>
      </c>
      <c r="I163">
        <v>10</v>
      </c>
      <c r="J163">
        <v>0</v>
      </c>
      <c r="K163" s="5" t="str">
        <f>VLOOKUP(J163,[1]SkillName!$A:$B,2,FALSE)</f>
        <v>無効</v>
      </c>
      <c r="L163">
        <v>0</v>
      </c>
      <c r="M163" s="5" t="str">
        <f>VLOOKUP(L163,[1]SkillName!$A:$B,2,FALSE)</f>
        <v>無効</v>
      </c>
    </row>
    <row r="164" spans="1:13">
      <c r="A164" s="1">
        <f>VLOOKUP(B164,[1]CharaName!$A:$B,2,FALSE)</f>
        <v>0</v>
      </c>
      <c r="B164">
        <v>162</v>
      </c>
      <c r="C164" t="s">
        <v>165</v>
      </c>
      <c r="D164">
        <v>0</v>
      </c>
      <c r="E164">
        <v>100</v>
      </c>
      <c r="F164">
        <v>10</v>
      </c>
      <c r="G164">
        <v>10</v>
      </c>
      <c r="H164">
        <v>10</v>
      </c>
      <c r="I164">
        <v>10</v>
      </c>
      <c r="J164">
        <v>0</v>
      </c>
      <c r="K164" s="5" t="str">
        <f>VLOOKUP(J164,[1]SkillName!$A:$B,2,FALSE)</f>
        <v>無効</v>
      </c>
      <c r="L164">
        <v>0</v>
      </c>
      <c r="M164" s="5" t="str">
        <f>VLOOKUP(L164,[1]SkillName!$A:$B,2,FALSE)</f>
        <v>無効</v>
      </c>
    </row>
    <row r="165" spans="1:13">
      <c r="A165" s="1">
        <f>VLOOKUP(B165,[1]CharaName!$A:$B,2,FALSE)</f>
        <v>0</v>
      </c>
      <c r="B165">
        <v>163</v>
      </c>
      <c r="C165" t="s">
        <v>166</v>
      </c>
      <c r="D165">
        <v>0</v>
      </c>
      <c r="E165">
        <v>100</v>
      </c>
      <c r="F165">
        <v>10</v>
      </c>
      <c r="G165">
        <v>10</v>
      </c>
      <c r="H165">
        <v>10</v>
      </c>
      <c r="I165">
        <v>10</v>
      </c>
      <c r="J165">
        <v>0</v>
      </c>
      <c r="K165" s="5" t="str">
        <f>VLOOKUP(J165,[1]SkillName!$A:$B,2,FALSE)</f>
        <v>無効</v>
      </c>
      <c r="L165">
        <v>0</v>
      </c>
      <c r="M165" s="5" t="str">
        <f>VLOOKUP(L165,[1]SkillName!$A:$B,2,FALSE)</f>
        <v>無効</v>
      </c>
    </row>
    <row r="166" spans="1:13">
      <c r="A166" s="1">
        <f>VLOOKUP(B166,[1]CharaName!$A:$B,2,FALSE)</f>
        <v>0</v>
      </c>
      <c r="B166">
        <v>164</v>
      </c>
      <c r="C166" t="s">
        <v>167</v>
      </c>
      <c r="D166">
        <v>0</v>
      </c>
      <c r="E166">
        <v>100</v>
      </c>
      <c r="F166">
        <v>10</v>
      </c>
      <c r="G166">
        <v>10</v>
      </c>
      <c r="H166">
        <v>10</v>
      </c>
      <c r="I166">
        <v>10</v>
      </c>
      <c r="J166">
        <v>0</v>
      </c>
      <c r="K166" s="5" t="str">
        <f>VLOOKUP(J166,[1]SkillName!$A:$B,2,FALSE)</f>
        <v>無効</v>
      </c>
      <c r="L166">
        <v>0</v>
      </c>
      <c r="M166" s="5" t="str">
        <f>VLOOKUP(L166,[1]SkillName!$A:$B,2,FALSE)</f>
        <v>無効</v>
      </c>
    </row>
    <row r="167" spans="1:13">
      <c r="A167" s="1">
        <f>VLOOKUP(B167,[1]CharaName!$A:$B,2,FALSE)</f>
        <v>0</v>
      </c>
      <c r="B167">
        <v>165</v>
      </c>
      <c r="C167" t="s">
        <v>168</v>
      </c>
      <c r="D167">
        <v>0</v>
      </c>
      <c r="E167">
        <v>100</v>
      </c>
      <c r="F167">
        <v>10</v>
      </c>
      <c r="G167">
        <v>10</v>
      </c>
      <c r="H167">
        <v>10</v>
      </c>
      <c r="I167">
        <v>10</v>
      </c>
      <c r="J167">
        <v>0</v>
      </c>
      <c r="K167" s="5" t="str">
        <f>VLOOKUP(J167,[1]SkillName!$A:$B,2,FALSE)</f>
        <v>無効</v>
      </c>
      <c r="L167">
        <v>0</v>
      </c>
      <c r="M167" s="5" t="str">
        <f>VLOOKUP(L167,[1]SkillName!$A:$B,2,FALSE)</f>
        <v>無効</v>
      </c>
    </row>
    <row r="168" spans="1:13">
      <c r="A168" s="1">
        <f>VLOOKUP(B168,[1]CharaName!$A:$B,2,FALSE)</f>
        <v>0</v>
      </c>
      <c r="B168">
        <v>166</v>
      </c>
      <c r="C168" t="s">
        <v>169</v>
      </c>
      <c r="D168">
        <v>0</v>
      </c>
      <c r="E168">
        <v>100</v>
      </c>
      <c r="F168">
        <v>10</v>
      </c>
      <c r="G168">
        <v>10</v>
      </c>
      <c r="H168">
        <v>10</v>
      </c>
      <c r="I168">
        <v>10</v>
      </c>
      <c r="J168">
        <v>0</v>
      </c>
      <c r="K168" s="5" t="str">
        <f>VLOOKUP(J168,[1]SkillName!$A:$B,2,FALSE)</f>
        <v>無効</v>
      </c>
      <c r="L168">
        <v>0</v>
      </c>
      <c r="M168" s="5" t="str">
        <f>VLOOKUP(L168,[1]SkillName!$A:$B,2,FALSE)</f>
        <v>無効</v>
      </c>
    </row>
    <row r="169" spans="1:13">
      <c r="A169" s="1">
        <f>VLOOKUP(B169,[1]CharaName!$A:$B,2,FALSE)</f>
        <v>0</v>
      </c>
      <c r="B169">
        <v>167</v>
      </c>
      <c r="C169" t="s">
        <v>170</v>
      </c>
      <c r="D169">
        <v>0</v>
      </c>
      <c r="E169">
        <v>100</v>
      </c>
      <c r="F169">
        <v>10</v>
      </c>
      <c r="G169">
        <v>10</v>
      </c>
      <c r="H169">
        <v>10</v>
      </c>
      <c r="I169">
        <v>10</v>
      </c>
      <c r="J169">
        <v>0</v>
      </c>
      <c r="K169" s="5" t="str">
        <f>VLOOKUP(J169,[1]SkillName!$A:$B,2,FALSE)</f>
        <v>無効</v>
      </c>
      <c r="L169">
        <v>0</v>
      </c>
      <c r="M169" s="5" t="str">
        <f>VLOOKUP(L169,[1]SkillName!$A:$B,2,FALSE)</f>
        <v>無効</v>
      </c>
    </row>
    <row r="170" spans="1:13">
      <c r="A170" s="1">
        <f>VLOOKUP(B170,[1]CharaName!$A:$B,2,FALSE)</f>
        <v>0</v>
      </c>
      <c r="B170">
        <v>168</v>
      </c>
      <c r="C170" t="s">
        <v>171</v>
      </c>
      <c r="D170">
        <v>0</v>
      </c>
      <c r="E170">
        <v>100</v>
      </c>
      <c r="F170">
        <v>10</v>
      </c>
      <c r="G170">
        <v>10</v>
      </c>
      <c r="H170">
        <v>10</v>
      </c>
      <c r="I170">
        <v>10</v>
      </c>
      <c r="J170">
        <v>0</v>
      </c>
      <c r="K170" s="5" t="str">
        <f>VLOOKUP(J170,[1]SkillName!$A:$B,2,FALSE)</f>
        <v>無効</v>
      </c>
      <c r="L170">
        <v>0</v>
      </c>
      <c r="M170" s="5" t="str">
        <f>VLOOKUP(L170,[1]SkillName!$A:$B,2,FALSE)</f>
        <v>無効</v>
      </c>
    </row>
    <row r="171" spans="1:13">
      <c r="A171" s="1">
        <f>VLOOKUP(B171,[1]CharaName!$A:$B,2,FALSE)</f>
        <v>0</v>
      </c>
      <c r="B171">
        <v>169</v>
      </c>
      <c r="C171" t="s">
        <v>172</v>
      </c>
      <c r="D171">
        <v>0</v>
      </c>
      <c r="E171">
        <v>100</v>
      </c>
      <c r="F171">
        <v>10</v>
      </c>
      <c r="G171">
        <v>10</v>
      </c>
      <c r="H171">
        <v>10</v>
      </c>
      <c r="I171">
        <v>10</v>
      </c>
      <c r="J171">
        <v>0</v>
      </c>
      <c r="K171" s="5" t="str">
        <f>VLOOKUP(J171,[1]SkillName!$A:$B,2,FALSE)</f>
        <v>無効</v>
      </c>
      <c r="L171">
        <v>0</v>
      </c>
      <c r="M171" s="5" t="str">
        <f>VLOOKUP(L171,[1]SkillName!$A:$B,2,FALSE)</f>
        <v>無効</v>
      </c>
    </row>
    <row r="172" spans="1:13">
      <c r="A172" s="1">
        <f>VLOOKUP(B172,[1]CharaName!$A:$B,2,FALSE)</f>
        <v>0</v>
      </c>
      <c r="B172">
        <v>170</v>
      </c>
      <c r="C172" t="s">
        <v>173</v>
      </c>
      <c r="D172">
        <v>0</v>
      </c>
      <c r="E172">
        <v>100</v>
      </c>
      <c r="F172">
        <v>10</v>
      </c>
      <c r="G172">
        <v>10</v>
      </c>
      <c r="H172">
        <v>10</v>
      </c>
      <c r="I172">
        <v>10</v>
      </c>
      <c r="J172">
        <v>0</v>
      </c>
      <c r="K172" s="5" t="str">
        <f>VLOOKUP(J172,[1]SkillName!$A:$B,2,FALSE)</f>
        <v>無効</v>
      </c>
      <c r="L172">
        <v>0</v>
      </c>
      <c r="M172" s="5" t="str">
        <f>VLOOKUP(L172,[1]SkillName!$A:$B,2,FALSE)</f>
        <v>無効</v>
      </c>
    </row>
    <row r="173" spans="1:13">
      <c r="A173" s="1">
        <f>VLOOKUP(B173,[1]CharaName!$A:$B,2,FALSE)</f>
        <v>0</v>
      </c>
      <c r="B173">
        <v>171</v>
      </c>
      <c r="C173" t="s">
        <v>174</v>
      </c>
      <c r="D173">
        <v>0</v>
      </c>
      <c r="E173">
        <v>100</v>
      </c>
      <c r="F173">
        <v>10</v>
      </c>
      <c r="G173">
        <v>10</v>
      </c>
      <c r="H173">
        <v>10</v>
      </c>
      <c r="I173">
        <v>10</v>
      </c>
      <c r="J173">
        <v>0</v>
      </c>
      <c r="K173" s="5" t="str">
        <f>VLOOKUP(J173,[1]SkillName!$A:$B,2,FALSE)</f>
        <v>無効</v>
      </c>
      <c r="L173">
        <v>0</v>
      </c>
      <c r="M173" s="5" t="str">
        <f>VLOOKUP(L173,[1]SkillName!$A:$B,2,FALSE)</f>
        <v>無効</v>
      </c>
    </row>
    <row r="174" spans="1:13">
      <c r="A174" s="1">
        <f>VLOOKUP(B174,[1]CharaName!$A:$B,2,FALSE)</f>
        <v>0</v>
      </c>
      <c r="B174">
        <v>172</v>
      </c>
      <c r="C174" t="s">
        <v>175</v>
      </c>
      <c r="D174">
        <v>0</v>
      </c>
      <c r="E174">
        <v>100</v>
      </c>
      <c r="F174">
        <v>10</v>
      </c>
      <c r="G174">
        <v>10</v>
      </c>
      <c r="H174">
        <v>10</v>
      </c>
      <c r="I174">
        <v>10</v>
      </c>
      <c r="J174">
        <v>0</v>
      </c>
      <c r="K174" s="5" t="str">
        <f>VLOOKUP(J174,[1]SkillName!$A:$B,2,FALSE)</f>
        <v>無効</v>
      </c>
      <c r="L174">
        <v>0</v>
      </c>
      <c r="M174" s="5" t="str">
        <f>VLOOKUP(L174,[1]SkillName!$A:$B,2,FALSE)</f>
        <v>無効</v>
      </c>
    </row>
    <row r="175" spans="1:13">
      <c r="A175" s="1">
        <f>VLOOKUP(B175,[1]CharaName!$A:$B,2,FALSE)</f>
        <v>0</v>
      </c>
      <c r="B175">
        <v>173</v>
      </c>
      <c r="C175" t="s">
        <v>176</v>
      </c>
      <c r="D175">
        <v>0</v>
      </c>
      <c r="E175">
        <v>100</v>
      </c>
      <c r="F175">
        <v>10</v>
      </c>
      <c r="G175">
        <v>10</v>
      </c>
      <c r="H175">
        <v>10</v>
      </c>
      <c r="I175">
        <v>10</v>
      </c>
      <c r="J175">
        <v>0</v>
      </c>
      <c r="K175" s="5" t="str">
        <f>VLOOKUP(J175,[1]SkillName!$A:$B,2,FALSE)</f>
        <v>無効</v>
      </c>
      <c r="L175">
        <v>0</v>
      </c>
      <c r="M175" s="5" t="str">
        <f>VLOOKUP(L175,[1]SkillName!$A:$B,2,FALSE)</f>
        <v>無効</v>
      </c>
    </row>
    <row r="176" spans="1:13">
      <c r="A176" s="1">
        <f>VLOOKUP(B176,[1]CharaName!$A:$B,2,FALSE)</f>
        <v>0</v>
      </c>
      <c r="B176">
        <v>174</v>
      </c>
      <c r="C176" t="s">
        <v>177</v>
      </c>
      <c r="D176">
        <v>0</v>
      </c>
      <c r="E176">
        <v>100</v>
      </c>
      <c r="F176">
        <v>10</v>
      </c>
      <c r="G176">
        <v>10</v>
      </c>
      <c r="H176">
        <v>10</v>
      </c>
      <c r="I176">
        <v>10</v>
      </c>
      <c r="J176">
        <v>0</v>
      </c>
      <c r="K176" s="5" t="str">
        <f>VLOOKUP(J176,[1]SkillName!$A:$B,2,FALSE)</f>
        <v>無効</v>
      </c>
      <c r="L176">
        <v>0</v>
      </c>
      <c r="M176" s="5" t="str">
        <f>VLOOKUP(L176,[1]SkillName!$A:$B,2,FALSE)</f>
        <v>無効</v>
      </c>
    </row>
    <row r="177" spans="1:13">
      <c r="A177" s="1">
        <f>VLOOKUP(B177,[1]CharaName!$A:$B,2,FALSE)</f>
        <v>0</v>
      </c>
      <c r="B177">
        <v>175</v>
      </c>
      <c r="C177" t="s">
        <v>178</v>
      </c>
      <c r="D177">
        <v>0</v>
      </c>
      <c r="E177">
        <v>100</v>
      </c>
      <c r="F177">
        <v>10</v>
      </c>
      <c r="G177">
        <v>10</v>
      </c>
      <c r="H177">
        <v>10</v>
      </c>
      <c r="I177">
        <v>10</v>
      </c>
      <c r="J177">
        <v>0</v>
      </c>
      <c r="K177" s="5" t="str">
        <f>VLOOKUP(J177,[1]SkillName!$A:$B,2,FALSE)</f>
        <v>無効</v>
      </c>
      <c r="L177">
        <v>0</v>
      </c>
      <c r="M177" s="5" t="str">
        <f>VLOOKUP(L177,[1]SkillName!$A:$B,2,FALSE)</f>
        <v>無効</v>
      </c>
    </row>
    <row r="178" spans="1:13">
      <c r="A178" s="1">
        <f>VLOOKUP(B178,[1]CharaName!$A:$B,2,FALSE)</f>
        <v>0</v>
      </c>
      <c r="B178">
        <v>176</v>
      </c>
      <c r="C178" t="s">
        <v>179</v>
      </c>
      <c r="D178">
        <v>0</v>
      </c>
      <c r="E178">
        <v>100</v>
      </c>
      <c r="F178">
        <v>10</v>
      </c>
      <c r="G178">
        <v>10</v>
      </c>
      <c r="H178">
        <v>10</v>
      </c>
      <c r="I178">
        <v>10</v>
      </c>
      <c r="J178">
        <v>0</v>
      </c>
      <c r="K178" s="5" t="str">
        <f>VLOOKUP(J178,[1]SkillName!$A:$B,2,FALSE)</f>
        <v>無効</v>
      </c>
      <c r="L178">
        <v>0</v>
      </c>
      <c r="M178" s="5" t="str">
        <f>VLOOKUP(L178,[1]SkillName!$A:$B,2,FALSE)</f>
        <v>無効</v>
      </c>
    </row>
    <row r="179" spans="1:13">
      <c r="A179" s="1">
        <f>VLOOKUP(B179,[1]CharaName!$A:$B,2,FALSE)</f>
        <v>0</v>
      </c>
      <c r="B179">
        <v>177</v>
      </c>
      <c r="C179" t="s">
        <v>180</v>
      </c>
      <c r="D179">
        <v>0</v>
      </c>
      <c r="E179">
        <v>100</v>
      </c>
      <c r="F179">
        <v>10</v>
      </c>
      <c r="G179">
        <v>10</v>
      </c>
      <c r="H179">
        <v>10</v>
      </c>
      <c r="I179">
        <v>10</v>
      </c>
      <c r="J179">
        <v>0</v>
      </c>
      <c r="K179" s="5" t="str">
        <f>VLOOKUP(J179,[1]SkillName!$A:$B,2,FALSE)</f>
        <v>無効</v>
      </c>
      <c r="L179">
        <v>0</v>
      </c>
      <c r="M179" s="5" t="str">
        <f>VLOOKUP(L179,[1]SkillName!$A:$B,2,FALSE)</f>
        <v>無効</v>
      </c>
    </row>
    <row r="180" spans="1:13">
      <c r="A180" s="1">
        <f>VLOOKUP(B180,[1]CharaName!$A:$B,2,FALSE)</f>
        <v>0</v>
      </c>
      <c r="B180">
        <v>178</v>
      </c>
      <c r="C180" t="s">
        <v>181</v>
      </c>
      <c r="D180">
        <v>0</v>
      </c>
      <c r="E180">
        <v>100</v>
      </c>
      <c r="F180">
        <v>10</v>
      </c>
      <c r="G180">
        <v>10</v>
      </c>
      <c r="H180">
        <v>10</v>
      </c>
      <c r="I180">
        <v>10</v>
      </c>
      <c r="J180">
        <v>0</v>
      </c>
      <c r="K180" s="5" t="str">
        <f>VLOOKUP(J180,[1]SkillName!$A:$B,2,FALSE)</f>
        <v>無効</v>
      </c>
      <c r="L180">
        <v>0</v>
      </c>
      <c r="M180" s="5" t="str">
        <f>VLOOKUP(L180,[1]SkillName!$A:$B,2,FALSE)</f>
        <v>無効</v>
      </c>
    </row>
    <row r="181" spans="1:13">
      <c r="A181" s="1">
        <f>VLOOKUP(B181,[1]CharaName!$A:$B,2,FALSE)</f>
        <v>0</v>
      </c>
      <c r="B181">
        <v>179</v>
      </c>
      <c r="C181" t="s">
        <v>182</v>
      </c>
      <c r="D181">
        <v>0</v>
      </c>
      <c r="E181">
        <v>100</v>
      </c>
      <c r="F181">
        <v>10</v>
      </c>
      <c r="G181">
        <v>10</v>
      </c>
      <c r="H181">
        <v>10</v>
      </c>
      <c r="I181">
        <v>10</v>
      </c>
      <c r="J181">
        <v>0</v>
      </c>
      <c r="K181" s="5" t="str">
        <f>VLOOKUP(J181,[1]SkillName!$A:$B,2,FALSE)</f>
        <v>無効</v>
      </c>
      <c r="L181">
        <v>0</v>
      </c>
      <c r="M181" s="5" t="str">
        <f>VLOOKUP(L181,[1]SkillName!$A:$B,2,FALSE)</f>
        <v>無効</v>
      </c>
    </row>
    <row r="182" spans="1:13">
      <c r="A182" s="1">
        <f>VLOOKUP(B182,[1]CharaName!$A:$B,2,FALSE)</f>
        <v>0</v>
      </c>
      <c r="B182">
        <v>180</v>
      </c>
      <c r="C182" t="s">
        <v>183</v>
      </c>
      <c r="D182">
        <v>0</v>
      </c>
      <c r="E182">
        <v>100</v>
      </c>
      <c r="F182">
        <v>10</v>
      </c>
      <c r="G182">
        <v>10</v>
      </c>
      <c r="H182">
        <v>10</v>
      </c>
      <c r="I182">
        <v>10</v>
      </c>
      <c r="J182">
        <v>0</v>
      </c>
      <c r="K182" s="5" t="str">
        <f>VLOOKUP(J182,[1]SkillName!$A:$B,2,FALSE)</f>
        <v>無効</v>
      </c>
      <c r="L182">
        <v>0</v>
      </c>
      <c r="M182" s="5" t="str">
        <f>VLOOKUP(L182,[1]SkillName!$A:$B,2,FALSE)</f>
        <v>無効</v>
      </c>
    </row>
    <row r="183" spans="1:13">
      <c r="A183" s="1">
        <f>VLOOKUP(B183,[1]CharaName!$A:$B,2,FALSE)</f>
        <v>0</v>
      </c>
      <c r="B183">
        <v>181</v>
      </c>
      <c r="C183" t="s">
        <v>184</v>
      </c>
      <c r="D183">
        <v>0</v>
      </c>
      <c r="E183">
        <v>100</v>
      </c>
      <c r="F183">
        <v>10</v>
      </c>
      <c r="G183">
        <v>10</v>
      </c>
      <c r="H183">
        <v>10</v>
      </c>
      <c r="I183">
        <v>10</v>
      </c>
      <c r="J183">
        <v>0</v>
      </c>
      <c r="K183" s="5" t="str">
        <f>VLOOKUP(J183,[1]SkillName!$A:$B,2,FALSE)</f>
        <v>無効</v>
      </c>
      <c r="L183">
        <v>0</v>
      </c>
      <c r="M183" s="5" t="str">
        <f>VLOOKUP(L183,[1]SkillName!$A:$B,2,FALSE)</f>
        <v>無効</v>
      </c>
    </row>
    <row r="184" spans="1:13">
      <c r="A184" s="1">
        <f>VLOOKUP(B184,[1]CharaName!$A:$B,2,FALSE)</f>
        <v>0</v>
      </c>
      <c r="B184">
        <v>182</v>
      </c>
      <c r="C184" t="s">
        <v>185</v>
      </c>
      <c r="D184">
        <v>0</v>
      </c>
      <c r="E184">
        <v>100</v>
      </c>
      <c r="F184">
        <v>10</v>
      </c>
      <c r="G184">
        <v>10</v>
      </c>
      <c r="H184">
        <v>10</v>
      </c>
      <c r="I184">
        <v>10</v>
      </c>
      <c r="J184">
        <v>0</v>
      </c>
      <c r="K184" s="5" t="str">
        <f>VLOOKUP(J184,[1]SkillName!$A:$B,2,FALSE)</f>
        <v>無効</v>
      </c>
      <c r="L184">
        <v>0</v>
      </c>
      <c r="M184" s="5" t="str">
        <f>VLOOKUP(L184,[1]SkillName!$A:$B,2,FALSE)</f>
        <v>無効</v>
      </c>
    </row>
    <row r="185" spans="1:13">
      <c r="A185" s="1">
        <f>VLOOKUP(B185,[1]CharaName!$A:$B,2,FALSE)</f>
        <v>0</v>
      </c>
      <c r="B185">
        <v>183</v>
      </c>
      <c r="C185" t="s">
        <v>186</v>
      </c>
      <c r="D185">
        <v>0</v>
      </c>
      <c r="E185">
        <v>100</v>
      </c>
      <c r="F185">
        <v>10</v>
      </c>
      <c r="G185">
        <v>10</v>
      </c>
      <c r="H185">
        <v>10</v>
      </c>
      <c r="I185">
        <v>10</v>
      </c>
      <c r="J185">
        <v>0</v>
      </c>
      <c r="K185" s="5" t="str">
        <f>VLOOKUP(J185,[1]SkillName!$A:$B,2,FALSE)</f>
        <v>無効</v>
      </c>
      <c r="L185">
        <v>0</v>
      </c>
      <c r="M185" s="5" t="str">
        <f>VLOOKUP(L185,[1]SkillName!$A:$B,2,FALSE)</f>
        <v>無効</v>
      </c>
    </row>
    <row r="186" spans="1:13">
      <c r="A186" s="1">
        <f>VLOOKUP(B186,[1]CharaName!$A:$B,2,FALSE)</f>
        <v>0</v>
      </c>
      <c r="B186">
        <v>184</v>
      </c>
      <c r="C186" t="s">
        <v>187</v>
      </c>
      <c r="D186">
        <v>0</v>
      </c>
      <c r="E186">
        <v>100</v>
      </c>
      <c r="F186">
        <v>10</v>
      </c>
      <c r="G186">
        <v>10</v>
      </c>
      <c r="H186">
        <v>10</v>
      </c>
      <c r="I186">
        <v>10</v>
      </c>
      <c r="J186">
        <v>0</v>
      </c>
      <c r="K186" s="5" t="str">
        <f>VLOOKUP(J186,[1]SkillName!$A:$B,2,FALSE)</f>
        <v>無効</v>
      </c>
      <c r="L186">
        <v>0</v>
      </c>
      <c r="M186" s="5" t="str">
        <f>VLOOKUP(L186,[1]SkillName!$A:$B,2,FALSE)</f>
        <v>無効</v>
      </c>
    </row>
    <row r="187" spans="1:13">
      <c r="A187" s="1">
        <f>VLOOKUP(B187,[1]CharaName!$A:$B,2,FALSE)</f>
        <v>0</v>
      </c>
      <c r="B187">
        <v>185</v>
      </c>
      <c r="C187" t="s">
        <v>188</v>
      </c>
      <c r="D187">
        <v>0</v>
      </c>
      <c r="E187">
        <v>100</v>
      </c>
      <c r="F187">
        <v>10</v>
      </c>
      <c r="G187">
        <v>10</v>
      </c>
      <c r="H187">
        <v>10</v>
      </c>
      <c r="I187">
        <v>10</v>
      </c>
      <c r="J187">
        <v>0</v>
      </c>
      <c r="K187" s="5" t="str">
        <f>VLOOKUP(J187,[1]SkillName!$A:$B,2,FALSE)</f>
        <v>無効</v>
      </c>
      <c r="L187">
        <v>0</v>
      </c>
      <c r="M187" s="5" t="str">
        <f>VLOOKUP(L187,[1]SkillName!$A:$B,2,FALSE)</f>
        <v>無効</v>
      </c>
    </row>
    <row r="188" spans="1:13">
      <c r="A188" s="1">
        <f>VLOOKUP(B188,[1]CharaName!$A:$B,2,FALSE)</f>
        <v>0</v>
      </c>
      <c r="B188">
        <v>186</v>
      </c>
      <c r="C188" t="s">
        <v>189</v>
      </c>
      <c r="D188">
        <v>0</v>
      </c>
      <c r="E188">
        <v>100</v>
      </c>
      <c r="F188">
        <v>10</v>
      </c>
      <c r="G188">
        <v>10</v>
      </c>
      <c r="H188">
        <v>10</v>
      </c>
      <c r="I188">
        <v>10</v>
      </c>
      <c r="J188">
        <v>0</v>
      </c>
      <c r="K188" s="5" t="str">
        <f>VLOOKUP(J188,[1]SkillName!$A:$B,2,FALSE)</f>
        <v>無効</v>
      </c>
      <c r="L188">
        <v>0</v>
      </c>
      <c r="M188" s="5" t="str">
        <f>VLOOKUP(L188,[1]SkillName!$A:$B,2,FALSE)</f>
        <v>無効</v>
      </c>
    </row>
    <row r="189" spans="1:13">
      <c r="A189" s="1">
        <f>VLOOKUP(B189,[1]CharaName!$A:$B,2,FALSE)</f>
        <v>0</v>
      </c>
      <c r="B189">
        <v>187</v>
      </c>
      <c r="C189" t="s">
        <v>190</v>
      </c>
      <c r="D189">
        <v>0</v>
      </c>
      <c r="E189">
        <v>100</v>
      </c>
      <c r="F189">
        <v>10</v>
      </c>
      <c r="G189">
        <v>10</v>
      </c>
      <c r="H189">
        <v>10</v>
      </c>
      <c r="I189">
        <v>10</v>
      </c>
      <c r="J189">
        <v>0</v>
      </c>
      <c r="K189" s="5" t="str">
        <f>VLOOKUP(J189,[1]SkillName!$A:$B,2,FALSE)</f>
        <v>無効</v>
      </c>
      <c r="L189">
        <v>0</v>
      </c>
      <c r="M189" s="5" t="str">
        <f>VLOOKUP(L189,[1]SkillName!$A:$B,2,FALSE)</f>
        <v>無効</v>
      </c>
    </row>
    <row r="190" spans="1:13">
      <c r="A190" s="1">
        <f>VLOOKUP(B190,[1]CharaName!$A:$B,2,FALSE)</f>
        <v>0</v>
      </c>
      <c r="B190">
        <v>188</v>
      </c>
      <c r="C190" t="s">
        <v>191</v>
      </c>
      <c r="D190">
        <v>0</v>
      </c>
      <c r="E190">
        <v>100</v>
      </c>
      <c r="F190">
        <v>10</v>
      </c>
      <c r="G190">
        <v>10</v>
      </c>
      <c r="H190">
        <v>10</v>
      </c>
      <c r="I190">
        <v>10</v>
      </c>
      <c r="J190">
        <v>0</v>
      </c>
      <c r="K190" s="5" t="str">
        <f>VLOOKUP(J190,[1]SkillName!$A:$B,2,FALSE)</f>
        <v>無効</v>
      </c>
      <c r="L190">
        <v>0</v>
      </c>
      <c r="M190" s="5" t="str">
        <f>VLOOKUP(L190,[1]SkillName!$A:$B,2,FALSE)</f>
        <v>無効</v>
      </c>
    </row>
    <row r="191" spans="1:13">
      <c r="A191" s="1">
        <f>VLOOKUP(B191,[1]CharaName!$A:$B,2,FALSE)</f>
        <v>0</v>
      </c>
      <c r="B191">
        <v>189</v>
      </c>
      <c r="C191" t="s">
        <v>192</v>
      </c>
      <c r="D191">
        <v>0</v>
      </c>
      <c r="E191">
        <v>100</v>
      </c>
      <c r="F191">
        <v>10</v>
      </c>
      <c r="G191">
        <v>10</v>
      </c>
      <c r="H191">
        <v>10</v>
      </c>
      <c r="I191">
        <v>10</v>
      </c>
      <c r="J191">
        <v>0</v>
      </c>
      <c r="K191" s="5" t="str">
        <f>VLOOKUP(J191,[1]SkillName!$A:$B,2,FALSE)</f>
        <v>無効</v>
      </c>
      <c r="L191">
        <v>0</v>
      </c>
      <c r="M191" s="5" t="str">
        <f>VLOOKUP(L191,[1]SkillName!$A:$B,2,FALSE)</f>
        <v>無効</v>
      </c>
    </row>
    <row r="192" spans="1:13">
      <c r="A192" s="1">
        <f>VLOOKUP(B192,[1]CharaName!$A:$B,2,FALSE)</f>
        <v>0</v>
      </c>
      <c r="B192">
        <v>190</v>
      </c>
      <c r="C192" t="s">
        <v>193</v>
      </c>
      <c r="D192">
        <v>0</v>
      </c>
      <c r="E192">
        <v>100</v>
      </c>
      <c r="F192">
        <v>10</v>
      </c>
      <c r="G192">
        <v>10</v>
      </c>
      <c r="H192">
        <v>10</v>
      </c>
      <c r="I192">
        <v>10</v>
      </c>
      <c r="J192">
        <v>0</v>
      </c>
      <c r="K192" s="5" t="str">
        <f>VLOOKUP(J192,[1]SkillName!$A:$B,2,FALSE)</f>
        <v>無効</v>
      </c>
      <c r="L192">
        <v>0</v>
      </c>
      <c r="M192" s="5" t="str">
        <f>VLOOKUP(L192,[1]SkillName!$A:$B,2,FALSE)</f>
        <v>無効</v>
      </c>
    </row>
    <row r="193" spans="1:13">
      <c r="A193" s="1">
        <f>VLOOKUP(B193,[1]CharaName!$A:$B,2,FALSE)</f>
        <v>0</v>
      </c>
      <c r="B193">
        <v>191</v>
      </c>
      <c r="C193" t="s">
        <v>194</v>
      </c>
      <c r="D193">
        <v>0</v>
      </c>
      <c r="E193">
        <v>100</v>
      </c>
      <c r="F193">
        <v>10</v>
      </c>
      <c r="G193">
        <v>10</v>
      </c>
      <c r="H193">
        <v>10</v>
      </c>
      <c r="I193">
        <v>10</v>
      </c>
      <c r="J193">
        <v>0</v>
      </c>
      <c r="K193" s="5" t="str">
        <f>VLOOKUP(J193,[1]SkillName!$A:$B,2,FALSE)</f>
        <v>無効</v>
      </c>
      <c r="L193">
        <v>0</v>
      </c>
      <c r="M193" s="5" t="str">
        <f>VLOOKUP(L193,[1]SkillName!$A:$B,2,FALSE)</f>
        <v>無効</v>
      </c>
    </row>
    <row r="194" spans="1:13">
      <c r="A194" s="1">
        <f>VLOOKUP(B194,[1]CharaName!$A:$B,2,FALSE)</f>
        <v>0</v>
      </c>
      <c r="B194">
        <v>192</v>
      </c>
      <c r="C194" t="s">
        <v>195</v>
      </c>
      <c r="D194">
        <v>0</v>
      </c>
      <c r="E194">
        <v>100</v>
      </c>
      <c r="F194">
        <v>10</v>
      </c>
      <c r="G194">
        <v>10</v>
      </c>
      <c r="H194">
        <v>10</v>
      </c>
      <c r="I194">
        <v>10</v>
      </c>
      <c r="J194">
        <v>0</v>
      </c>
      <c r="K194" s="5" t="str">
        <f>VLOOKUP(J194,[1]SkillName!$A:$B,2,FALSE)</f>
        <v>無効</v>
      </c>
      <c r="L194">
        <v>0</v>
      </c>
      <c r="M194" s="5" t="str">
        <f>VLOOKUP(L194,[1]SkillName!$A:$B,2,FALSE)</f>
        <v>無効</v>
      </c>
    </row>
    <row r="195" spans="1:13">
      <c r="A195" s="1">
        <f>VLOOKUP(B195,[1]CharaName!$A:$B,2,FALSE)</f>
        <v>0</v>
      </c>
      <c r="B195">
        <v>193</v>
      </c>
      <c r="C195" t="s">
        <v>196</v>
      </c>
      <c r="D195">
        <v>0</v>
      </c>
      <c r="E195">
        <v>100</v>
      </c>
      <c r="F195">
        <v>10</v>
      </c>
      <c r="G195">
        <v>10</v>
      </c>
      <c r="H195">
        <v>10</v>
      </c>
      <c r="I195">
        <v>10</v>
      </c>
      <c r="J195">
        <v>0</v>
      </c>
      <c r="K195" s="5" t="str">
        <f>VLOOKUP(J195,[1]SkillName!$A:$B,2,FALSE)</f>
        <v>無効</v>
      </c>
      <c r="L195">
        <v>0</v>
      </c>
      <c r="M195" s="5" t="str">
        <f>VLOOKUP(L195,[1]SkillName!$A:$B,2,FALSE)</f>
        <v>無効</v>
      </c>
    </row>
    <row r="196" spans="1:13">
      <c r="A196" s="1">
        <f>VLOOKUP(B196,[1]CharaName!$A:$B,2,FALSE)</f>
        <v>0</v>
      </c>
      <c r="B196">
        <v>194</v>
      </c>
      <c r="C196" t="s">
        <v>197</v>
      </c>
      <c r="D196">
        <v>0</v>
      </c>
      <c r="E196">
        <v>100</v>
      </c>
      <c r="F196">
        <v>10</v>
      </c>
      <c r="G196">
        <v>10</v>
      </c>
      <c r="H196">
        <v>10</v>
      </c>
      <c r="I196">
        <v>10</v>
      </c>
      <c r="J196">
        <v>0</v>
      </c>
      <c r="K196" s="5" t="str">
        <f>VLOOKUP(J196,[1]SkillName!$A:$B,2,FALSE)</f>
        <v>無効</v>
      </c>
      <c r="L196">
        <v>0</v>
      </c>
      <c r="M196" s="5" t="str">
        <f>VLOOKUP(L196,[1]SkillName!$A:$B,2,FALSE)</f>
        <v>無効</v>
      </c>
    </row>
    <row r="197" spans="1:13">
      <c r="A197" s="1">
        <f>VLOOKUP(B197,[1]CharaName!$A:$B,2,FALSE)</f>
        <v>0</v>
      </c>
      <c r="B197">
        <v>195</v>
      </c>
      <c r="C197" t="s">
        <v>198</v>
      </c>
      <c r="D197">
        <v>0</v>
      </c>
      <c r="E197">
        <v>100</v>
      </c>
      <c r="F197">
        <v>10</v>
      </c>
      <c r="G197">
        <v>10</v>
      </c>
      <c r="H197">
        <v>10</v>
      </c>
      <c r="I197">
        <v>10</v>
      </c>
      <c r="J197">
        <v>0</v>
      </c>
      <c r="K197" s="5" t="str">
        <f>VLOOKUP(J197,[1]SkillName!$A:$B,2,FALSE)</f>
        <v>無効</v>
      </c>
      <c r="L197">
        <v>0</v>
      </c>
      <c r="M197" s="5" t="str">
        <f>VLOOKUP(L197,[1]SkillName!$A:$B,2,FALSE)</f>
        <v>無効</v>
      </c>
    </row>
    <row r="198" spans="1:13">
      <c r="A198" s="1">
        <f>VLOOKUP(B198,[1]CharaName!$A:$B,2,FALSE)</f>
        <v>0</v>
      </c>
      <c r="B198">
        <v>196</v>
      </c>
      <c r="C198" t="s">
        <v>199</v>
      </c>
      <c r="D198">
        <v>0</v>
      </c>
      <c r="E198">
        <v>100</v>
      </c>
      <c r="F198">
        <v>10</v>
      </c>
      <c r="G198">
        <v>10</v>
      </c>
      <c r="H198">
        <v>10</v>
      </c>
      <c r="I198">
        <v>10</v>
      </c>
      <c r="J198">
        <v>0</v>
      </c>
      <c r="K198" s="5" t="str">
        <f>VLOOKUP(J198,[1]SkillName!$A:$B,2,FALSE)</f>
        <v>無効</v>
      </c>
      <c r="L198">
        <v>0</v>
      </c>
      <c r="M198" s="5" t="str">
        <f>VLOOKUP(L198,[1]SkillName!$A:$B,2,FALSE)</f>
        <v>無効</v>
      </c>
    </row>
    <row r="199" spans="1:13">
      <c r="A199" s="1">
        <f>VLOOKUP(B199,[1]CharaName!$A:$B,2,FALSE)</f>
        <v>0</v>
      </c>
      <c r="B199">
        <v>197</v>
      </c>
      <c r="C199" t="s">
        <v>200</v>
      </c>
      <c r="D199">
        <v>0</v>
      </c>
      <c r="E199">
        <v>100</v>
      </c>
      <c r="F199">
        <v>10</v>
      </c>
      <c r="G199">
        <v>10</v>
      </c>
      <c r="H199">
        <v>10</v>
      </c>
      <c r="I199">
        <v>10</v>
      </c>
      <c r="J199">
        <v>0</v>
      </c>
      <c r="K199" s="5" t="str">
        <f>VLOOKUP(J199,[1]SkillName!$A:$B,2,FALSE)</f>
        <v>無効</v>
      </c>
      <c r="L199">
        <v>0</v>
      </c>
      <c r="M199" s="5" t="str">
        <f>VLOOKUP(L199,[1]SkillName!$A:$B,2,FALSE)</f>
        <v>無効</v>
      </c>
    </row>
    <row r="200" spans="1:13">
      <c r="A200" s="1">
        <f>VLOOKUP(B200,[1]CharaName!$A:$B,2,FALSE)</f>
        <v>0</v>
      </c>
      <c r="B200">
        <v>198</v>
      </c>
      <c r="C200" t="s">
        <v>201</v>
      </c>
      <c r="D200">
        <v>0</v>
      </c>
      <c r="E200">
        <v>100</v>
      </c>
      <c r="F200">
        <v>10</v>
      </c>
      <c r="G200">
        <v>10</v>
      </c>
      <c r="H200">
        <v>10</v>
      </c>
      <c r="I200">
        <v>10</v>
      </c>
      <c r="J200">
        <v>0</v>
      </c>
      <c r="K200" s="5" t="str">
        <f>VLOOKUP(J200,[1]SkillName!$A:$B,2,FALSE)</f>
        <v>無効</v>
      </c>
      <c r="L200">
        <v>0</v>
      </c>
      <c r="M200" s="5" t="str">
        <f>VLOOKUP(L200,[1]SkillName!$A:$B,2,FALSE)</f>
        <v>無効</v>
      </c>
    </row>
    <row r="201" spans="1:13">
      <c r="A201" s="1">
        <f>VLOOKUP(B201,[1]CharaName!$A:$B,2,FALSE)</f>
        <v>0</v>
      </c>
      <c r="B201">
        <v>199</v>
      </c>
      <c r="C201" t="s">
        <v>202</v>
      </c>
      <c r="D201">
        <v>0</v>
      </c>
      <c r="E201">
        <v>100</v>
      </c>
      <c r="F201">
        <v>10</v>
      </c>
      <c r="G201">
        <v>10</v>
      </c>
      <c r="H201">
        <v>10</v>
      </c>
      <c r="I201">
        <v>10</v>
      </c>
      <c r="J201">
        <v>0</v>
      </c>
      <c r="K201" s="5" t="str">
        <f>VLOOKUP(J201,[1]SkillName!$A:$B,2,FALSE)</f>
        <v>無効</v>
      </c>
      <c r="L201">
        <v>0</v>
      </c>
      <c r="M201" s="5" t="str">
        <f>VLOOKUP(L201,[1]SkillName!$A:$B,2,FALSE)</f>
        <v>無効</v>
      </c>
    </row>
    <row r="202" spans="1:13">
      <c r="A202" s="1" t="str">
        <f>VLOOKUP(B202,[1]CharaName!$A:$B,2,FALSE)</f>
        <v>敵無効データ</v>
      </c>
      <c r="B202">
        <v>200</v>
      </c>
      <c r="C202" t="s">
        <v>306</v>
      </c>
      <c r="D202">
        <v>0</v>
      </c>
      <c r="E202">
        <v>100</v>
      </c>
      <c r="F202">
        <v>10</v>
      </c>
      <c r="G202">
        <v>10</v>
      </c>
      <c r="H202">
        <v>10</v>
      </c>
      <c r="I202">
        <v>10</v>
      </c>
      <c r="J202">
        <v>0</v>
      </c>
      <c r="K202" s="5" t="str">
        <f>VLOOKUP(J202,[1]SkillName!$A:$B,2,FALSE)</f>
        <v>無効</v>
      </c>
      <c r="L202">
        <v>0</v>
      </c>
      <c r="M202" s="5" t="str">
        <f>VLOOKUP(L202,[1]SkillName!$A:$B,2,FALSE)</f>
        <v>無効</v>
      </c>
    </row>
    <row r="203" spans="1:13">
      <c r="A203" s="1" t="str">
        <f>VLOOKUP(B203,[1]CharaName!$A:$B,2,FALSE)</f>
        <v>ハクロ</v>
      </c>
      <c r="B203">
        <v>201</v>
      </c>
      <c r="C203" t="s">
        <v>307</v>
      </c>
      <c r="D203">
        <v>0</v>
      </c>
      <c r="E203">
        <v>100</v>
      </c>
      <c r="F203">
        <v>10</v>
      </c>
      <c r="G203">
        <v>10</v>
      </c>
      <c r="H203">
        <v>10</v>
      </c>
      <c r="I203">
        <v>10</v>
      </c>
      <c r="J203">
        <v>29</v>
      </c>
      <c r="K203" s="5" t="str">
        <f>VLOOKUP(J203,[1]SkillName!$A:$B,2,FALSE)</f>
        <v>ハクロスキル１</v>
      </c>
      <c r="L203">
        <v>30</v>
      </c>
      <c r="M203" s="5" t="str">
        <f>VLOOKUP(L203,[1]SkillName!$A:$B,2,FALSE)</f>
        <v>ハクロスキル２</v>
      </c>
    </row>
    <row r="204" spans="1:13">
      <c r="A204" s="1" t="str">
        <f>VLOOKUP(B204,[1]CharaName!$A:$B,2,FALSE)</f>
        <v>ブックハンド</v>
      </c>
      <c r="B204">
        <v>202</v>
      </c>
      <c r="C204" t="s">
        <v>308</v>
      </c>
      <c r="D204">
        <v>0</v>
      </c>
      <c r="E204">
        <v>100</v>
      </c>
      <c r="F204">
        <v>10</v>
      </c>
      <c r="G204">
        <v>10</v>
      </c>
      <c r="H204">
        <v>10</v>
      </c>
      <c r="I204">
        <v>10</v>
      </c>
      <c r="J204">
        <v>31</v>
      </c>
      <c r="K204" s="5" t="str">
        <f>VLOOKUP(J204,[1]SkillName!$A:$B,2,FALSE)</f>
        <v>ブックハンドスキル１</v>
      </c>
      <c r="L204">
        <v>32</v>
      </c>
      <c r="M204" s="5" t="str">
        <f>VLOOKUP(L204,[1]SkillName!$A:$B,2,FALSE)</f>
        <v>ブックハンドスキル２</v>
      </c>
    </row>
    <row r="205" spans="1:13">
      <c r="A205" s="1" t="str">
        <f>VLOOKUP(B205,[1]CharaName!$A:$B,2,FALSE)</f>
        <v>オステオン</v>
      </c>
      <c r="B205">
        <v>203</v>
      </c>
      <c r="C205" t="s">
        <v>309</v>
      </c>
      <c r="D205">
        <v>0</v>
      </c>
      <c r="E205">
        <v>100</v>
      </c>
      <c r="F205">
        <v>10</v>
      </c>
      <c r="G205">
        <v>10</v>
      </c>
      <c r="H205">
        <v>10</v>
      </c>
      <c r="I205">
        <v>10</v>
      </c>
      <c r="J205">
        <v>33</v>
      </c>
      <c r="K205" s="5" t="str">
        <f>VLOOKUP(J205,[1]SkillName!$A:$B,2,FALSE)</f>
        <v>オステオンスキル１</v>
      </c>
      <c r="L205">
        <v>34</v>
      </c>
      <c r="M205" s="5" t="str">
        <f>VLOOKUP(L205,[1]SkillName!$A:$B,2,FALSE)</f>
        <v>オステオンスキル２</v>
      </c>
    </row>
    <row r="206" spans="1:13">
      <c r="A206" s="1" t="str">
        <f>VLOOKUP(B206,[1]CharaName!$A:$B,2,FALSE)</f>
        <v>ターボ・タロ</v>
      </c>
      <c r="B206">
        <v>204</v>
      </c>
      <c r="C206" t="s">
        <v>310</v>
      </c>
      <c r="D206">
        <v>0</v>
      </c>
      <c r="E206">
        <v>100</v>
      </c>
      <c r="F206">
        <v>10</v>
      </c>
      <c r="G206">
        <v>10</v>
      </c>
      <c r="H206">
        <v>10</v>
      </c>
      <c r="I206">
        <v>10</v>
      </c>
      <c r="J206">
        <v>35</v>
      </c>
      <c r="K206" s="5" t="str">
        <f>VLOOKUP(J206,[1]SkillName!$A:$B,2,FALSE)</f>
        <v>ターボ・タロスキル１</v>
      </c>
      <c r="L206">
        <v>36</v>
      </c>
      <c r="M206" s="5" t="str">
        <f>VLOOKUP(L206,[1]SkillName!$A:$B,2,FALSE)</f>
        <v>ターボ・タロスキル２</v>
      </c>
    </row>
    <row r="207" spans="1:13">
      <c r="A207" s="1">
        <f>VLOOKUP(B207,[1]CharaName!$A:$B,2,FALSE)</f>
        <v>0</v>
      </c>
      <c r="B207">
        <v>205</v>
      </c>
      <c r="C207" t="s">
        <v>203</v>
      </c>
      <c r="D207">
        <v>0</v>
      </c>
      <c r="E207">
        <v>100</v>
      </c>
      <c r="F207">
        <v>10</v>
      </c>
      <c r="G207">
        <v>10</v>
      </c>
      <c r="H207">
        <v>10</v>
      </c>
      <c r="I207">
        <v>10</v>
      </c>
      <c r="J207">
        <v>0</v>
      </c>
      <c r="K207" s="5" t="str">
        <f>VLOOKUP(J207,[1]SkillName!$A:$B,2,FALSE)</f>
        <v>無効</v>
      </c>
      <c r="L207">
        <v>0</v>
      </c>
      <c r="M207" s="5" t="str">
        <f>VLOOKUP(L207,[1]SkillName!$A:$B,2,FALSE)</f>
        <v>無効</v>
      </c>
    </row>
    <row r="208" spans="1:13">
      <c r="A208" s="1">
        <f>VLOOKUP(B208,[1]CharaName!$A:$B,2,FALSE)</f>
        <v>0</v>
      </c>
      <c r="B208">
        <v>206</v>
      </c>
      <c r="C208" t="s">
        <v>204</v>
      </c>
      <c r="D208">
        <v>0</v>
      </c>
      <c r="E208">
        <v>100</v>
      </c>
      <c r="F208">
        <v>10</v>
      </c>
      <c r="G208">
        <v>10</v>
      </c>
      <c r="H208">
        <v>10</v>
      </c>
      <c r="I208">
        <v>10</v>
      </c>
      <c r="J208">
        <v>0</v>
      </c>
      <c r="K208" s="5" t="str">
        <f>VLOOKUP(J208,[1]SkillName!$A:$B,2,FALSE)</f>
        <v>無効</v>
      </c>
      <c r="L208">
        <v>0</v>
      </c>
      <c r="M208" s="5" t="str">
        <f>VLOOKUP(L208,[1]SkillName!$A:$B,2,FALSE)</f>
        <v>無効</v>
      </c>
    </row>
    <row r="209" spans="1:13">
      <c r="A209" s="1">
        <f>VLOOKUP(B209,[1]CharaName!$A:$B,2,FALSE)</f>
        <v>0</v>
      </c>
      <c r="B209">
        <v>207</v>
      </c>
      <c r="C209" t="s">
        <v>205</v>
      </c>
      <c r="D209">
        <v>0</v>
      </c>
      <c r="E209">
        <v>100</v>
      </c>
      <c r="F209">
        <v>10</v>
      </c>
      <c r="G209">
        <v>10</v>
      </c>
      <c r="H209">
        <v>10</v>
      </c>
      <c r="I209">
        <v>10</v>
      </c>
      <c r="J209">
        <v>0</v>
      </c>
      <c r="K209" s="5" t="str">
        <f>VLOOKUP(J209,[1]SkillName!$A:$B,2,FALSE)</f>
        <v>無効</v>
      </c>
      <c r="L209">
        <v>0</v>
      </c>
      <c r="M209" s="5" t="str">
        <f>VLOOKUP(L209,[1]SkillName!$A:$B,2,FALSE)</f>
        <v>無効</v>
      </c>
    </row>
    <row r="210" spans="1:13">
      <c r="A210" s="1">
        <f>VLOOKUP(B210,[1]CharaName!$A:$B,2,FALSE)</f>
        <v>0</v>
      </c>
      <c r="B210">
        <v>208</v>
      </c>
      <c r="C210" t="s">
        <v>206</v>
      </c>
      <c r="D210">
        <v>0</v>
      </c>
      <c r="E210">
        <v>100</v>
      </c>
      <c r="F210">
        <v>10</v>
      </c>
      <c r="G210">
        <v>10</v>
      </c>
      <c r="H210">
        <v>10</v>
      </c>
      <c r="I210">
        <v>10</v>
      </c>
      <c r="J210">
        <v>0</v>
      </c>
      <c r="K210" s="5" t="str">
        <f>VLOOKUP(J210,[1]SkillName!$A:$B,2,FALSE)</f>
        <v>無効</v>
      </c>
      <c r="L210">
        <v>0</v>
      </c>
      <c r="M210" s="5" t="str">
        <f>VLOOKUP(L210,[1]SkillName!$A:$B,2,FALSE)</f>
        <v>無効</v>
      </c>
    </row>
    <row r="211" spans="1:13">
      <c r="A211" s="1">
        <f>VLOOKUP(B211,[1]CharaName!$A:$B,2,FALSE)</f>
        <v>0</v>
      </c>
      <c r="B211">
        <v>209</v>
      </c>
      <c r="C211" t="s">
        <v>207</v>
      </c>
      <c r="D211">
        <v>0</v>
      </c>
      <c r="E211">
        <v>100</v>
      </c>
      <c r="F211">
        <v>10</v>
      </c>
      <c r="G211">
        <v>10</v>
      </c>
      <c r="H211">
        <v>10</v>
      </c>
      <c r="I211">
        <v>10</v>
      </c>
      <c r="J211">
        <v>0</v>
      </c>
      <c r="K211" s="5" t="str">
        <f>VLOOKUP(J211,[1]SkillName!$A:$B,2,FALSE)</f>
        <v>無効</v>
      </c>
      <c r="L211">
        <v>0</v>
      </c>
      <c r="M211" s="5" t="str">
        <f>VLOOKUP(L211,[1]SkillName!$A:$B,2,FALSE)</f>
        <v>無効</v>
      </c>
    </row>
    <row r="212" spans="1:13">
      <c r="A212" s="1">
        <f>VLOOKUP(B212,[1]CharaName!$A:$B,2,FALSE)</f>
        <v>0</v>
      </c>
      <c r="B212">
        <v>210</v>
      </c>
      <c r="C212" t="s">
        <v>208</v>
      </c>
      <c r="D212">
        <v>0</v>
      </c>
      <c r="E212">
        <v>100</v>
      </c>
      <c r="F212">
        <v>10</v>
      </c>
      <c r="G212">
        <v>10</v>
      </c>
      <c r="H212">
        <v>10</v>
      </c>
      <c r="I212">
        <v>10</v>
      </c>
      <c r="J212">
        <v>0</v>
      </c>
      <c r="K212" s="5" t="str">
        <f>VLOOKUP(J212,[1]SkillName!$A:$B,2,FALSE)</f>
        <v>無効</v>
      </c>
      <c r="L212">
        <v>0</v>
      </c>
      <c r="M212" s="5" t="str">
        <f>VLOOKUP(L212,[1]SkillName!$A:$B,2,FALSE)</f>
        <v>無効</v>
      </c>
    </row>
    <row r="213" spans="1:13">
      <c r="A213" s="1">
        <f>VLOOKUP(B213,[1]CharaName!$A:$B,2,FALSE)</f>
        <v>0</v>
      </c>
      <c r="B213">
        <v>211</v>
      </c>
      <c r="C213" t="s">
        <v>209</v>
      </c>
      <c r="D213">
        <v>0</v>
      </c>
      <c r="E213">
        <v>100</v>
      </c>
      <c r="F213">
        <v>10</v>
      </c>
      <c r="G213">
        <v>10</v>
      </c>
      <c r="H213">
        <v>10</v>
      </c>
      <c r="I213">
        <v>10</v>
      </c>
      <c r="J213">
        <v>0</v>
      </c>
      <c r="K213" s="5" t="str">
        <f>VLOOKUP(J213,[1]SkillName!$A:$B,2,FALSE)</f>
        <v>無効</v>
      </c>
      <c r="L213">
        <v>0</v>
      </c>
      <c r="M213" s="5" t="str">
        <f>VLOOKUP(L213,[1]SkillName!$A:$B,2,FALSE)</f>
        <v>無効</v>
      </c>
    </row>
    <row r="214" spans="1:13">
      <c r="A214" s="1">
        <f>VLOOKUP(B214,[1]CharaName!$A:$B,2,FALSE)</f>
        <v>0</v>
      </c>
      <c r="B214">
        <v>212</v>
      </c>
      <c r="C214" t="s">
        <v>210</v>
      </c>
      <c r="D214">
        <v>0</v>
      </c>
      <c r="E214">
        <v>100</v>
      </c>
      <c r="F214">
        <v>10</v>
      </c>
      <c r="G214">
        <v>10</v>
      </c>
      <c r="H214">
        <v>10</v>
      </c>
      <c r="I214">
        <v>10</v>
      </c>
      <c r="J214">
        <v>0</v>
      </c>
      <c r="K214" s="5" t="str">
        <f>VLOOKUP(J214,[1]SkillName!$A:$B,2,FALSE)</f>
        <v>無効</v>
      </c>
      <c r="L214">
        <v>0</v>
      </c>
      <c r="M214" s="5" t="str">
        <f>VLOOKUP(L214,[1]SkillName!$A:$B,2,FALSE)</f>
        <v>無効</v>
      </c>
    </row>
    <row r="215" spans="1:13">
      <c r="A215" s="1">
        <f>VLOOKUP(B215,[1]CharaName!$A:$B,2,FALSE)</f>
        <v>0</v>
      </c>
      <c r="B215">
        <v>213</v>
      </c>
      <c r="C215" t="s">
        <v>211</v>
      </c>
      <c r="D215">
        <v>0</v>
      </c>
      <c r="E215">
        <v>100</v>
      </c>
      <c r="F215">
        <v>10</v>
      </c>
      <c r="G215">
        <v>10</v>
      </c>
      <c r="H215">
        <v>10</v>
      </c>
      <c r="I215">
        <v>10</v>
      </c>
      <c r="J215">
        <v>0</v>
      </c>
      <c r="K215" s="5" t="str">
        <f>VLOOKUP(J215,[1]SkillName!$A:$B,2,FALSE)</f>
        <v>無効</v>
      </c>
      <c r="L215">
        <v>0</v>
      </c>
      <c r="M215" s="5" t="str">
        <f>VLOOKUP(L215,[1]SkillName!$A:$B,2,FALSE)</f>
        <v>無効</v>
      </c>
    </row>
    <row r="216" spans="1:13">
      <c r="A216" s="1">
        <f>VLOOKUP(B216,[1]CharaName!$A:$B,2,FALSE)</f>
        <v>0</v>
      </c>
      <c r="B216">
        <v>214</v>
      </c>
      <c r="C216" t="s">
        <v>212</v>
      </c>
      <c r="D216">
        <v>0</v>
      </c>
      <c r="E216">
        <v>100</v>
      </c>
      <c r="F216">
        <v>10</v>
      </c>
      <c r="G216">
        <v>10</v>
      </c>
      <c r="H216">
        <v>10</v>
      </c>
      <c r="I216">
        <v>10</v>
      </c>
      <c r="J216">
        <v>0</v>
      </c>
      <c r="K216" s="5" t="str">
        <f>VLOOKUP(J216,[1]SkillName!$A:$B,2,FALSE)</f>
        <v>無効</v>
      </c>
      <c r="L216">
        <v>0</v>
      </c>
      <c r="M216" s="5" t="str">
        <f>VLOOKUP(L216,[1]SkillName!$A:$B,2,FALSE)</f>
        <v>無効</v>
      </c>
    </row>
    <row r="217" spans="1:13">
      <c r="A217" s="1">
        <f>VLOOKUP(B217,[1]CharaName!$A:$B,2,FALSE)</f>
        <v>0</v>
      </c>
      <c r="B217">
        <v>215</v>
      </c>
      <c r="C217" t="s">
        <v>213</v>
      </c>
      <c r="D217">
        <v>0</v>
      </c>
      <c r="E217">
        <v>100</v>
      </c>
      <c r="F217">
        <v>10</v>
      </c>
      <c r="G217">
        <v>10</v>
      </c>
      <c r="H217">
        <v>10</v>
      </c>
      <c r="I217">
        <v>10</v>
      </c>
      <c r="J217">
        <v>0</v>
      </c>
      <c r="K217" s="5" t="str">
        <f>VLOOKUP(J217,[1]SkillName!$A:$B,2,FALSE)</f>
        <v>無効</v>
      </c>
      <c r="L217">
        <v>0</v>
      </c>
      <c r="M217" s="5" t="str">
        <f>VLOOKUP(L217,[1]SkillName!$A:$B,2,FALSE)</f>
        <v>無効</v>
      </c>
    </row>
    <row r="218" spans="1:13">
      <c r="A218" s="1">
        <f>VLOOKUP(B218,[1]CharaName!$A:$B,2,FALSE)</f>
        <v>0</v>
      </c>
      <c r="B218">
        <v>216</v>
      </c>
      <c r="C218" t="s">
        <v>214</v>
      </c>
      <c r="D218">
        <v>0</v>
      </c>
      <c r="E218">
        <v>100</v>
      </c>
      <c r="F218">
        <v>10</v>
      </c>
      <c r="G218">
        <v>10</v>
      </c>
      <c r="H218">
        <v>10</v>
      </c>
      <c r="I218">
        <v>10</v>
      </c>
      <c r="J218">
        <v>0</v>
      </c>
      <c r="K218" s="5" t="str">
        <f>VLOOKUP(J218,[1]SkillName!$A:$B,2,FALSE)</f>
        <v>無効</v>
      </c>
      <c r="L218">
        <v>0</v>
      </c>
      <c r="M218" s="5" t="str">
        <f>VLOOKUP(L218,[1]SkillName!$A:$B,2,FALSE)</f>
        <v>無効</v>
      </c>
    </row>
    <row r="219" spans="1:13">
      <c r="A219" s="1">
        <f>VLOOKUP(B219,[1]CharaName!$A:$B,2,FALSE)</f>
        <v>0</v>
      </c>
      <c r="B219">
        <v>217</v>
      </c>
      <c r="C219" t="s">
        <v>215</v>
      </c>
      <c r="D219">
        <v>0</v>
      </c>
      <c r="E219">
        <v>100</v>
      </c>
      <c r="F219">
        <v>10</v>
      </c>
      <c r="G219">
        <v>10</v>
      </c>
      <c r="H219">
        <v>10</v>
      </c>
      <c r="I219">
        <v>10</v>
      </c>
      <c r="J219">
        <v>0</v>
      </c>
      <c r="K219" s="5" t="str">
        <f>VLOOKUP(J219,[1]SkillName!$A:$B,2,FALSE)</f>
        <v>無効</v>
      </c>
      <c r="L219">
        <v>0</v>
      </c>
      <c r="M219" s="5" t="str">
        <f>VLOOKUP(L219,[1]SkillName!$A:$B,2,FALSE)</f>
        <v>無効</v>
      </c>
    </row>
    <row r="220" spans="1:13">
      <c r="A220" s="1">
        <f>VLOOKUP(B220,[1]CharaName!$A:$B,2,FALSE)</f>
        <v>0</v>
      </c>
      <c r="B220">
        <v>218</v>
      </c>
      <c r="C220" t="s">
        <v>216</v>
      </c>
      <c r="D220">
        <v>0</v>
      </c>
      <c r="E220">
        <v>100</v>
      </c>
      <c r="F220">
        <v>10</v>
      </c>
      <c r="G220">
        <v>10</v>
      </c>
      <c r="H220">
        <v>10</v>
      </c>
      <c r="I220">
        <v>10</v>
      </c>
      <c r="J220">
        <v>0</v>
      </c>
      <c r="K220" s="5" t="str">
        <f>VLOOKUP(J220,[1]SkillName!$A:$B,2,FALSE)</f>
        <v>無効</v>
      </c>
      <c r="L220">
        <v>0</v>
      </c>
      <c r="M220" s="5" t="str">
        <f>VLOOKUP(L220,[1]SkillName!$A:$B,2,FALSE)</f>
        <v>無効</v>
      </c>
    </row>
    <row r="221" spans="1:13">
      <c r="A221" s="1">
        <f>VLOOKUP(B221,[1]CharaName!$A:$B,2,FALSE)</f>
        <v>0</v>
      </c>
      <c r="B221">
        <v>219</v>
      </c>
      <c r="C221" t="s">
        <v>217</v>
      </c>
      <c r="D221">
        <v>0</v>
      </c>
      <c r="E221">
        <v>100</v>
      </c>
      <c r="F221">
        <v>10</v>
      </c>
      <c r="G221">
        <v>10</v>
      </c>
      <c r="H221">
        <v>10</v>
      </c>
      <c r="I221">
        <v>10</v>
      </c>
      <c r="J221">
        <v>0</v>
      </c>
      <c r="K221" s="5" t="str">
        <f>VLOOKUP(J221,[1]SkillName!$A:$B,2,FALSE)</f>
        <v>無効</v>
      </c>
      <c r="L221">
        <v>0</v>
      </c>
      <c r="M221" s="5" t="str">
        <f>VLOOKUP(L221,[1]SkillName!$A:$B,2,FALSE)</f>
        <v>無効</v>
      </c>
    </row>
    <row r="222" spans="1:13">
      <c r="A222" s="1">
        <f>VLOOKUP(B222,[1]CharaName!$A:$B,2,FALSE)</f>
        <v>0</v>
      </c>
      <c r="B222">
        <v>220</v>
      </c>
      <c r="C222" t="s">
        <v>218</v>
      </c>
      <c r="D222">
        <v>0</v>
      </c>
      <c r="E222">
        <v>100</v>
      </c>
      <c r="F222">
        <v>10</v>
      </c>
      <c r="G222">
        <v>10</v>
      </c>
      <c r="H222">
        <v>10</v>
      </c>
      <c r="I222">
        <v>10</v>
      </c>
      <c r="J222">
        <v>0</v>
      </c>
      <c r="K222" s="5" t="str">
        <f>VLOOKUP(J222,[1]SkillName!$A:$B,2,FALSE)</f>
        <v>無効</v>
      </c>
      <c r="L222">
        <v>0</v>
      </c>
      <c r="M222" s="5" t="str">
        <f>VLOOKUP(L222,[1]SkillName!$A:$B,2,FALSE)</f>
        <v>無効</v>
      </c>
    </row>
    <row r="223" spans="1:13">
      <c r="A223" s="1">
        <f>VLOOKUP(B223,[1]CharaName!$A:$B,2,FALSE)</f>
        <v>0</v>
      </c>
      <c r="B223">
        <v>221</v>
      </c>
      <c r="C223" t="s">
        <v>219</v>
      </c>
      <c r="D223">
        <v>0</v>
      </c>
      <c r="E223">
        <v>100</v>
      </c>
      <c r="F223">
        <v>10</v>
      </c>
      <c r="G223">
        <v>10</v>
      </c>
      <c r="H223">
        <v>10</v>
      </c>
      <c r="I223">
        <v>10</v>
      </c>
      <c r="J223">
        <v>0</v>
      </c>
      <c r="K223" s="5" t="str">
        <f>VLOOKUP(J223,[1]SkillName!$A:$B,2,FALSE)</f>
        <v>無効</v>
      </c>
      <c r="L223">
        <v>0</v>
      </c>
      <c r="M223" s="5" t="str">
        <f>VLOOKUP(L223,[1]SkillName!$A:$B,2,FALSE)</f>
        <v>無効</v>
      </c>
    </row>
    <row r="224" spans="1:13">
      <c r="A224" s="1">
        <f>VLOOKUP(B224,[1]CharaName!$A:$B,2,FALSE)</f>
        <v>0</v>
      </c>
      <c r="B224">
        <v>222</v>
      </c>
      <c r="C224" t="s">
        <v>220</v>
      </c>
      <c r="D224">
        <v>0</v>
      </c>
      <c r="E224">
        <v>100</v>
      </c>
      <c r="F224">
        <v>10</v>
      </c>
      <c r="G224">
        <v>10</v>
      </c>
      <c r="H224">
        <v>10</v>
      </c>
      <c r="I224">
        <v>10</v>
      </c>
      <c r="J224">
        <v>0</v>
      </c>
      <c r="K224" s="5" t="str">
        <f>VLOOKUP(J224,[1]SkillName!$A:$B,2,FALSE)</f>
        <v>無効</v>
      </c>
      <c r="L224">
        <v>0</v>
      </c>
      <c r="M224" s="5" t="str">
        <f>VLOOKUP(L224,[1]SkillName!$A:$B,2,FALSE)</f>
        <v>無効</v>
      </c>
    </row>
    <row r="225" spans="1:13">
      <c r="A225" s="1">
        <f>VLOOKUP(B225,[1]CharaName!$A:$B,2,FALSE)</f>
        <v>0</v>
      </c>
      <c r="B225">
        <v>223</v>
      </c>
      <c r="C225" t="s">
        <v>221</v>
      </c>
      <c r="D225">
        <v>0</v>
      </c>
      <c r="E225">
        <v>100</v>
      </c>
      <c r="F225">
        <v>10</v>
      </c>
      <c r="G225">
        <v>10</v>
      </c>
      <c r="H225">
        <v>10</v>
      </c>
      <c r="I225">
        <v>10</v>
      </c>
      <c r="J225">
        <v>0</v>
      </c>
      <c r="K225" s="5" t="str">
        <f>VLOOKUP(J225,[1]SkillName!$A:$B,2,FALSE)</f>
        <v>無効</v>
      </c>
      <c r="L225">
        <v>0</v>
      </c>
      <c r="M225" s="5" t="str">
        <f>VLOOKUP(L225,[1]SkillName!$A:$B,2,FALSE)</f>
        <v>無効</v>
      </c>
    </row>
    <row r="226" spans="1:13">
      <c r="A226" s="1">
        <f>VLOOKUP(B226,[1]CharaName!$A:$B,2,FALSE)</f>
        <v>0</v>
      </c>
      <c r="B226">
        <v>224</v>
      </c>
      <c r="C226" t="s">
        <v>222</v>
      </c>
      <c r="D226">
        <v>0</v>
      </c>
      <c r="E226">
        <v>100</v>
      </c>
      <c r="F226">
        <v>10</v>
      </c>
      <c r="G226">
        <v>10</v>
      </c>
      <c r="H226">
        <v>10</v>
      </c>
      <c r="I226">
        <v>10</v>
      </c>
      <c r="J226">
        <v>0</v>
      </c>
      <c r="K226" s="5" t="str">
        <f>VLOOKUP(J226,[1]SkillName!$A:$B,2,FALSE)</f>
        <v>無効</v>
      </c>
      <c r="L226">
        <v>0</v>
      </c>
      <c r="M226" s="5" t="str">
        <f>VLOOKUP(L226,[1]SkillName!$A:$B,2,FALSE)</f>
        <v>無効</v>
      </c>
    </row>
    <row r="227" spans="1:13">
      <c r="A227" s="1">
        <f>VLOOKUP(B227,[1]CharaName!$A:$B,2,FALSE)</f>
        <v>0</v>
      </c>
      <c r="B227">
        <v>225</v>
      </c>
      <c r="C227" t="s">
        <v>223</v>
      </c>
      <c r="D227">
        <v>0</v>
      </c>
      <c r="E227">
        <v>100</v>
      </c>
      <c r="F227">
        <v>10</v>
      </c>
      <c r="G227">
        <v>10</v>
      </c>
      <c r="H227">
        <v>10</v>
      </c>
      <c r="I227">
        <v>10</v>
      </c>
      <c r="J227">
        <v>0</v>
      </c>
      <c r="K227" s="5" t="str">
        <f>VLOOKUP(J227,[1]SkillName!$A:$B,2,FALSE)</f>
        <v>無効</v>
      </c>
      <c r="L227">
        <v>0</v>
      </c>
      <c r="M227" s="5" t="str">
        <f>VLOOKUP(L227,[1]SkillName!$A:$B,2,FALSE)</f>
        <v>無効</v>
      </c>
    </row>
    <row r="228" spans="1:13">
      <c r="A228" s="1">
        <f>VLOOKUP(B228,[1]CharaName!$A:$B,2,FALSE)</f>
        <v>0</v>
      </c>
      <c r="B228">
        <v>226</v>
      </c>
      <c r="C228" t="s">
        <v>224</v>
      </c>
      <c r="D228">
        <v>0</v>
      </c>
      <c r="E228">
        <v>100</v>
      </c>
      <c r="F228">
        <v>10</v>
      </c>
      <c r="G228">
        <v>10</v>
      </c>
      <c r="H228">
        <v>10</v>
      </c>
      <c r="I228">
        <v>10</v>
      </c>
      <c r="J228">
        <v>0</v>
      </c>
      <c r="K228" s="5" t="str">
        <f>VLOOKUP(J228,[1]SkillName!$A:$B,2,FALSE)</f>
        <v>無効</v>
      </c>
      <c r="L228">
        <v>0</v>
      </c>
      <c r="M228" s="5" t="str">
        <f>VLOOKUP(L228,[1]SkillName!$A:$B,2,FALSE)</f>
        <v>無効</v>
      </c>
    </row>
    <row r="229" spans="1:13">
      <c r="A229" s="1">
        <f>VLOOKUP(B229,[1]CharaName!$A:$B,2,FALSE)</f>
        <v>0</v>
      </c>
      <c r="B229">
        <v>227</v>
      </c>
      <c r="C229" t="s">
        <v>225</v>
      </c>
      <c r="D229">
        <v>0</v>
      </c>
      <c r="E229">
        <v>100</v>
      </c>
      <c r="F229">
        <v>10</v>
      </c>
      <c r="G229">
        <v>10</v>
      </c>
      <c r="H229">
        <v>10</v>
      </c>
      <c r="I229">
        <v>10</v>
      </c>
      <c r="J229">
        <v>0</v>
      </c>
      <c r="K229" s="5" t="str">
        <f>VLOOKUP(J229,[1]SkillName!$A:$B,2,FALSE)</f>
        <v>無効</v>
      </c>
      <c r="L229">
        <v>0</v>
      </c>
      <c r="M229" s="5" t="str">
        <f>VLOOKUP(L229,[1]SkillName!$A:$B,2,FALSE)</f>
        <v>無効</v>
      </c>
    </row>
    <row r="230" spans="1:13">
      <c r="A230" s="1">
        <f>VLOOKUP(B230,[1]CharaName!$A:$B,2,FALSE)</f>
        <v>0</v>
      </c>
      <c r="B230">
        <v>228</v>
      </c>
      <c r="C230" t="s">
        <v>226</v>
      </c>
      <c r="D230">
        <v>0</v>
      </c>
      <c r="E230">
        <v>100</v>
      </c>
      <c r="F230">
        <v>10</v>
      </c>
      <c r="G230">
        <v>10</v>
      </c>
      <c r="H230">
        <v>10</v>
      </c>
      <c r="I230">
        <v>10</v>
      </c>
      <c r="J230">
        <v>0</v>
      </c>
      <c r="K230" s="5" t="str">
        <f>VLOOKUP(J230,[1]SkillName!$A:$B,2,FALSE)</f>
        <v>無効</v>
      </c>
      <c r="L230">
        <v>0</v>
      </c>
      <c r="M230" s="5" t="str">
        <f>VLOOKUP(L230,[1]SkillName!$A:$B,2,FALSE)</f>
        <v>無効</v>
      </c>
    </row>
    <row r="231" spans="1:13">
      <c r="A231" s="1">
        <f>VLOOKUP(B231,[1]CharaName!$A:$B,2,FALSE)</f>
        <v>0</v>
      </c>
      <c r="B231">
        <v>229</v>
      </c>
      <c r="C231" t="s">
        <v>227</v>
      </c>
      <c r="D231">
        <v>0</v>
      </c>
      <c r="E231">
        <v>100</v>
      </c>
      <c r="F231">
        <v>10</v>
      </c>
      <c r="G231">
        <v>10</v>
      </c>
      <c r="H231">
        <v>10</v>
      </c>
      <c r="I231">
        <v>10</v>
      </c>
      <c r="J231">
        <v>0</v>
      </c>
      <c r="K231" s="5" t="str">
        <f>VLOOKUP(J231,[1]SkillName!$A:$B,2,FALSE)</f>
        <v>無効</v>
      </c>
      <c r="L231">
        <v>0</v>
      </c>
      <c r="M231" s="5" t="str">
        <f>VLOOKUP(L231,[1]SkillName!$A:$B,2,FALSE)</f>
        <v>無効</v>
      </c>
    </row>
    <row r="232" spans="1:13">
      <c r="A232" s="1">
        <f>VLOOKUP(B232,[1]CharaName!$A:$B,2,FALSE)</f>
        <v>0</v>
      </c>
      <c r="B232">
        <v>230</v>
      </c>
      <c r="C232" t="s">
        <v>228</v>
      </c>
      <c r="D232">
        <v>0</v>
      </c>
      <c r="E232">
        <v>100</v>
      </c>
      <c r="F232">
        <v>10</v>
      </c>
      <c r="G232">
        <v>10</v>
      </c>
      <c r="H232">
        <v>10</v>
      </c>
      <c r="I232">
        <v>10</v>
      </c>
      <c r="J232">
        <v>0</v>
      </c>
      <c r="K232" s="5" t="str">
        <f>VLOOKUP(J232,[1]SkillName!$A:$B,2,FALSE)</f>
        <v>無効</v>
      </c>
      <c r="L232">
        <v>0</v>
      </c>
      <c r="M232" s="5" t="str">
        <f>VLOOKUP(L232,[1]SkillName!$A:$B,2,FALSE)</f>
        <v>無効</v>
      </c>
    </row>
    <row r="233" spans="1:13">
      <c r="A233" s="1">
        <f>VLOOKUP(B233,[1]CharaName!$A:$B,2,FALSE)</f>
        <v>0</v>
      </c>
      <c r="B233">
        <v>231</v>
      </c>
      <c r="C233" t="s">
        <v>229</v>
      </c>
      <c r="D233">
        <v>0</v>
      </c>
      <c r="E233">
        <v>100</v>
      </c>
      <c r="F233">
        <v>10</v>
      </c>
      <c r="G233">
        <v>10</v>
      </c>
      <c r="H233">
        <v>10</v>
      </c>
      <c r="I233">
        <v>10</v>
      </c>
      <c r="J233">
        <v>0</v>
      </c>
      <c r="K233" s="5" t="str">
        <f>VLOOKUP(J233,[1]SkillName!$A:$B,2,FALSE)</f>
        <v>無効</v>
      </c>
      <c r="L233">
        <v>0</v>
      </c>
      <c r="M233" s="5" t="str">
        <f>VLOOKUP(L233,[1]SkillName!$A:$B,2,FALSE)</f>
        <v>無効</v>
      </c>
    </row>
    <row r="234" spans="1:13">
      <c r="A234" s="1">
        <f>VLOOKUP(B234,[1]CharaName!$A:$B,2,FALSE)</f>
        <v>0</v>
      </c>
      <c r="B234">
        <v>232</v>
      </c>
      <c r="C234" t="s">
        <v>230</v>
      </c>
      <c r="D234">
        <v>0</v>
      </c>
      <c r="E234">
        <v>100</v>
      </c>
      <c r="F234">
        <v>10</v>
      </c>
      <c r="G234">
        <v>10</v>
      </c>
      <c r="H234">
        <v>10</v>
      </c>
      <c r="I234">
        <v>10</v>
      </c>
      <c r="J234">
        <v>0</v>
      </c>
      <c r="K234" s="5" t="str">
        <f>VLOOKUP(J234,[1]SkillName!$A:$B,2,FALSE)</f>
        <v>無効</v>
      </c>
      <c r="L234">
        <v>0</v>
      </c>
      <c r="M234" s="5" t="str">
        <f>VLOOKUP(L234,[1]SkillName!$A:$B,2,FALSE)</f>
        <v>無効</v>
      </c>
    </row>
    <row r="235" spans="1:13">
      <c r="A235" s="1">
        <f>VLOOKUP(B235,[1]CharaName!$A:$B,2,FALSE)</f>
        <v>0</v>
      </c>
      <c r="B235">
        <v>233</v>
      </c>
      <c r="C235" t="s">
        <v>231</v>
      </c>
      <c r="D235">
        <v>0</v>
      </c>
      <c r="E235">
        <v>100</v>
      </c>
      <c r="F235">
        <v>10</v>
      </c>
      <c r="G235">
        <v>10</v>
      </c>
      <c r="H235">
        <v>10</v>
      </c>
      <c r="I235">
        <v>10</v>
      </c>
      <c r="J235">
        <v>0</v>
      </c>
      <c r="K235" s="5" t="str">
        <f>VLOOKUP(J235,[1]SkillName!$A:$B,2,FALSE)</f>
        <v>無効</v>
      </c>
      <c r="L235">
        <v>0</v>
      </c>
      <c r="M235" s="5" t="str">
        <f>VLOOKUP(L235,[1]SkillName!$A:$B,2,FALSE)</f>
        <v>無効</v>
      </c>
    </row>
    <row r="236" spans="1:13">
      <c r="A236" s="1">
        <f>VLOOKUP(B236,[1]CharaName!$A:$B,2,FALSE)</f>
        <v>0</v>
      </c>
      <c r="B236">
        <v>234</v>
      </c>
      <c r="C236" t="s">
        <v>232</v>
      </c>
      <c r="D236">
        <v>0</v>
      </c>
      <c r="E236">
        <v>100</v>
      </c>
      <c r="F236">
        <v>10</v>
      </c>
      <c r="G236">
        <v>10</v>
      </c>
      <c r="H236">
        <v>10</v>
      </c>
      <c r="I236">
        <v>10</v>
      </c>
      <c r="J236">
        <v>0</v>
      </c>
      <c r="K236" s="5" t="str">
        <f>VLOOKUP(J236,[1]SkillName!$A:$B,2,FALSE)</f>
        <v>無効</v>
      </c>
      <c r="L236">
        <v>0</v>
      </c>
      <c r="M236" s="5" t="str">
        <f>VLOOKUP(L236,[1]SkillName!$A:$B,2,FALSE)</f>
        <v>無効</v>
      </c>
    </row>
    <row r="237" spans="1:13">
      <c r="A237" s="1">
        <f>VLOOKUP(B237,[1]CharaName!$A:$B,2,FALSE)</f>
        <v>0</v>
      </c>
      <c r="B237">
        <v>235</v>
      </c>
      <c r="C237" t="s">
        <v>233</v>
      </c>
      <c r="D237">
        <v>0</v>
      </c>
      <c r="E237">
        <v>100</v>
      </c>
      <c r="F237">
        <v>10</v>
      </c>
      <c r="G237">
        <v>10</v>
      </c>
      <c r="H237">
        <v>10</v>
      </c>
      <c r="I237">
        <v>10</v>
      </c>
      <c r="J237">
        <v>0</v>
      </c>
      <c r="K237" s="5" t="str">
        <f>VLOOKUP(J237,[1]SkillName!$A:$B,2,FALSE)</f>
        <v>無効</v>
      </c>
      <c r="L237">
        <v>0</v>
      </c>
      <c r="M237" s="5" t="str">
        <f>VLOOKUP(L237,[1]SkillName!$A:$B,2,FALSE)</f>
        <v>無効</v>
      </c>
    </row>
    <row r="238" spans="1:13">
      <c r="A238" s="1">
        <f>VLOOKUP(B238,[1]CharaName!$A:$B,2,FALSE)</f>
        <v>0</v>
      </c>
      <c r="B238">
        <v>236</v>
      </c>
      <c r="C238" t="s">
        <v>234</v>
      </c>
      <c r="D238">
        <v>0</v>
      </c>
      <c r="E238">
        <v>100</v>
      </c>
      <c r="F238">
        <v>10</v>
      </c>
      <c r="G238">
        <v>10</v>
      </c>
      <c r="H238">
        <v>10</v>
      </c>
      <c r="I238">
        <v>10</v>
      </c>
      <c r="J238">
        <v>0</v>
      </c>
      <c r="K238" s="5" t="str">
        <f>VLOOKUP(J238,[1]SkillName!$A:$B,2,FALSE)</f>
        <v>無効</v>
      </c>
      <c r="L238">
        <v>0</v>
      </c>
      <c r="M238" s="5" t="str">
        <f>VLOOKUP(L238,[1]SkillName!$A:$B,2,FALSE)</f>
        <v>無効</v>
      </c>
    </row>
    <row r="239" spans="1:13">
      <c r="A239" s="1">
        <f>VLOOKUP(B239,[1]CharaName!$A:$B,2,FALSE)</f>
        <v>0</v>
      </c>
      <c r="B239">
        <v>237</v>
      </c>
      <c r="C239" t="s">
        <v>235</v>
      </c>
      <c r="D239">
        <v>0</v>
      </c>
      <c r="E239">
        <v>100</v>
      </c>
      <c r="F239">
        <v>10</v>
      </c>
      <c r="G239">
        <v>10</v>
      </c>
      <c r="H239">
        <v>10</v>
      </c>
      <c r="I239">
        <v>10</v>
      </c>
      <c r="J239">
        <v>0</v>
      </c>
      <c r="K239" s="5" t="str">
        <f>VLOOKUP(J239,[1]SkillName!$A:$B,2,FALSE)</f>
        <v>無効</v>
      </c>
      <c r="L239">
        <v>0</v>
      </c>
      <c r="M239" s="5" t="str">
        <f>VLOOKUP(L239,[1]SkillName!$A:$B,2,FALSE)</f>
        <v>無効</v>
      </c>
    </row>
    <row r="240" spans="1:13">
      <c r="A240" s="1">
        <f>VLOOKUP(B240,[1]CharaName!$A:$B,2,FALSE)</f>
        <v>0</v>
      </c>
      <c r="B240">
        <v>238</v>
      </c>
      <c r="C240" t="s">
        <v>236</v>
      </c>
      <c r="D240">
        <v>0</v>
      </c>
      <c r="E240">
        <v>100</v>
      </c>
      <c r="F240">
        <v>10</v>
      </c>
      <c r="G240">
        <v>10</v>
      </c>
      <c r="H240">
        <v>10</v>
      </c>
      <c r="I240">
        <v>10</v>
      </c>
      <c r="J240">
        <v>0</v>
      </c>
      <c r="K240" s="5" t="str">
        <f>VLOOKUP(J240,[1]SkillName!$A:$B,2,FALSE)</f>
        <v>無効</v>
      </c>
      <c r="L240">
        <v>0</v>
      </c>
      <c r="M240" s="5" t="str">
        <f>VLOOKUP(L240,[1]SkillName!$A:$B,2,FALSE)</f>
        <v>無効</v>
      </c>
    </row>
    <row r="241" spans="1:13">
      <c r="A241" s="1">
        <f>VLOOKUP(B241,[1]CharaName!$A:$B,2,FALSE)</f>
        <v>0</v>
      </c>
      <c r="B241">
        <v>239</v>
      </c>
      <c r="C241" t="s">
        <v>237</v>
      </c>
      <c r="D241">
        <v>0</v>
      </c>
      <c r="E241">
        <v>100</v>
      </c>
      <c r="F241">
        <v>10</v>
      </c>
      <c r="G241">
        <v>10</v>
      </c>
      <c r="H241">
        <v>10</v>
      </c>
      <c r="I241">
        <v>10</v>
      </c>
      <c r="J241">
        <v>0</v>
      </c>
      <c r="K241" s="5" t="str">
        <f>VLOOKUP(J241,[1]SkillName!$A:$B,2,FALSE)</f>
        <v>無効</v>
      </c>
      <c r="L241">
        <v>0</v>
      </c>
      <c r="M241" s="5" t="str">
        <f>VLOOKUP(L241,[1]SkillName!$A:$B,2,FALSE)</f>
        <v>無効</v>
      </c>
    </row>
    <row r="242" spans="1:13">
      <c r="A242" s="1">
        <f>VLOOKUP(B242,[1]CharaName!$A:$B,2,FALSE)</f>
        <v>0</v>
      </c>
      <c r="B242">
        <v>240</v>
      </c>
      <c r="C242" t="s">
        <v>238</v>
      </c>
      <c r="D242">
        <v>0</v>
      </c>
      <c r="E242">
        <v>100</v>
      </c>
      <c r="F242">
        <v>10</v>
      </c>
      <c r="G242">
        <v>10</v>
      </c>
      <c r="H242">
        <v>10</v>
      </c>
      <c r="I242">
        <v>10</v>
      </c>
      <c r="J242">
        <v>0</v>
      </c>
      <c r="K242" s="5" t="str">
        <f>VLOOKUP(J242,[1]SkillName!$A:$B,2,FALSE)</f>
        <v>無効</v>
      </c>
      <c r="L242">
        <v>0</v>
      </c>
      <c r="M242" s="5" t="str">
        <f>VLOOKUP(L242,[1]SkillName!$A:$B,2,FALSE)</f>
        <v>無効</v>
      </c>
    </row>
    <row r="243" spans="1:13">
      <c r="A243" s="1">
        <f>VLOOKUP(B243,[1]CharaName!$A:$B,2,FALSE)</f>
        <v>0</v>
      </c>
      <c r="B243">
        <v>241</v>
      </c>
      <c r="C243" t="s">
        <v>239</v>
      </c>
      <c r="D243">
        <v>0</v>
      </c>
      <c r="E243">
        <v>100</v>
      </c>
      <c r="F243">
        <v>10</v>
      </c>
      <c r="G243">
        <v>10</v>
      </c>
      <c r="H243">
        <v>10</v>
      </c>
      <c r="I243">
        <v>10</v>
      </c>
      <c r="J243">
        <v>0</v>
      </c>
      <c r="K243" s="5" t="str">
        <f>VLOOKUP(J243,[1]SkillName!$A:$B,2,FALSE)</f>
        <v>無効</v>
      </c>
      <c r="L243">
        <v>0</v>
      </c>
      <c r="M243" s="5" t="str">
        <f>VLOOKUP(L243,[1]SkillName!$A:$B,2,FALSE)</f>
        <v>無効</v>
      </c>
    </row>
    <row r="244" spans="1:13">
      <c r="A244" s="1">
        <f>VLOOKUP(B244,[1]CharaName!$A:$B,2,FALSE)</f>
        <v>0</v>
      </c>
      <c r="B244">
        <v>242</v>
      </c>
      <c r="C244" t="s">
        <v>240</v>
      </c>
      <c r="D244">
        <v>0</v>
      </c>
      <c r="E244">
        <v>100</v>
      </c>
      <c r="F244">
        <v>10</v>
      </c>
      <c r="G244">
        <v>10</v>
      </c>
      <c r="H244">
        <v>10</v>
      </c>
      <c r="I244">
        <v>10</v>
      </c>
      <c r="J244">
        <v>0</v>
      </c>
      <c r="K244" s="5" t="str">
        <f>VLOOKUP(J244,[1]SkillName!$A:$B,2,FALSE)</f>
        <v>無効</v>
      </c>
      <c r="L244">
        <v>0</v>
      </c>
      <c r="M244" s="5" t="str">
        <f>VLOOKUP(L244,[1]SkillName!$A:$B,2,FALSE)</f>
        <v>無効</v>
      </c>
    </row>
    <row r="245" spans="1:13">
      <c r="A245" s="1">
        <f>VLOOKUP(B245,[1]CharaName!$A:$B,2,FALSE)</f>
        <v>0</v>
      </c>
      <c r="B245">
        <v>243</v>
      </c>
      <c r="C245" t="s">
        <v>241</v>
      </c>
      <c r="D245">
        <v>0</v>
      </c>
      <c r="E245">
        <v>100</v>
      </c>
      <c r="F245">
        <v>10</v>
      </c>
      <c r="G245">
        <v>10</v>
      </c>
      <c r="H245">
        <v>10</v>
      </c>
      <c r="I245">
        <v>10</v>
      </c>
      <c r="J245">
        <v>0</v>
      </c>
      <c r="K245" s="5" t="str">
        <f>VLOOKUP(J245,[1]SkillName!$A:$B,2,FALSE)</f>
        <v>無効</v>
      </c>
      <c r="L245">
        <v>0</v>
      </c>
      <c r="M245" s="5" t="str">
        <f>VLOOKUP(L245,[1]SkillName!$A:$B,2,FALSE)</f>
        <v>無効</v>
      </c>
    </row>
    <row r="246" spans="1:13">
      <c r="A246" s="1">
        <f>VLOOKUP(B246,[1]CharaName!$A:$B,2,FALSE)</f>
        <v>0</v>
      </c>
      <c r="B246">
        <v>244</v>
      </c>
      <c r="C246" t="s">
        <v>242</v>
      </c>
      <c r="D246">
        <v>0</v>
      </c>
      <c r="E246">
        <v>100</v>
      </c>
      <c r="F246">
        <v>10</v>
      </c>
      <c r="G246">
        <v>10</v>
      </c>
      <c r="H246">
        <v>10</v>
      </c>
      <c r="I246">
        <v>10</v>
      </c>
      <c r="J246">
        <v>0</v>
      </c>
      <c r="K246" s="5" t="str">
        <f>VLOOKUP(J246,[1]SkillName!$A:$B,2,FALSE)</f>
        <v>無効</v>
      </c>
      <c r="L246">
        <v>0</v>
      </c>
      <c r="M246" s="5" t="str">
        <f>VLOOKUP(L246,[1]SkillName!$A:$B,2,FALSE)</f>
        <v>無効</v>
      </c>
    </row>
    <row r="247" spans="1:13">
      <c r="A247" s="1">
        <f>VLOOKUP(B247,[1]CharaName!$A:$B,2,FALSE)</f>
        <v>0</v>
      </c>
      <c r="B247">
        <v>245</v>
      </c>
      <c r="C247" t="s">
        <v>243</v>
      </c>
      <c r="D247">
        <v>0</v>
      </c>
      <c r="E247">
        <v>100</v>
      </c>
      <c r="F247">
        <v>10</v>
      </c>
      <c r="G247">
        <v>10</v>
      </c>
      <c r="H247">
        <v>10</v>
      </c>
      <c r="I247">
        <v>10</v>
      </c>
      <c r="J247">
        <v>0</v>
      </c>
      <c r="K247" s="5" t="str">
        <f>VLOOKUP(J247,[1]SkillName!$A:$B,2,FALSE)</f>
        <v>無効</v>
      </c>
      <c r="L247">
        <v>0</v>
      </c>
      <c r="M247" s="5" t="str">
        <f>VLOOKUP(L247,[1]SkillName!$A:$B,2,FALSE)</f>
        <v>無効</v>
      </c>
    </row>
    <row r="248" spans="1:13">
      <c r="A248" s="1">
        <f>VLOOKUP(B248,[1]CharaName!$A:$B,2,FALSE)</f>
        <v>0</v>
      </c>
      <c r="B248">
        <v>246</v>
      </c>
      <c r="C248" t="s">
        <v>244</v>
      </c>
      <c r="D248">
        <v>0</v>
      </c>
      <c r="E248">
        <v>100</v>
      </c>
      <c r="F248">
        <v>10</v>
      </c>
      <c r="G248">
        <v>10</v>
      </c>
      <c r="H248">
        <v>10</v>
      </c>
      <c r="I248">
        <v>10</v>
      </c>
      <c r="J248">
        <v>0</v>
      </c>
      <c r="K248" s="5" t="str">
        <f>VLOOKUP(J248,[1]SkillName!$A:$B,2,FALSE)</f>
        <v>無効</v>
      </c>
      <c r="L248">
        <v>0</v>
      </c>
      <c r="M248" s="5" t="str">
        <f>VLOOKUP(L248,[1]SkillName!$A:$B,2,FALSE)</f>
        <v>無効</v>
      </c>
    </row>
    <row r="249" spans="1:13">
      <c r="A249" s="1">
        <f>VLOOKUP(B249,[1]CharaName!$A:$B,2,FALSE)</f>
        <v>0</v>
      </c>
      <c r="B249">
        <v>247</v>
      </c>
      <c r="C249" t="s">
        <v>245</v>
      </c>
      <c r="D249">
        <v>0</v>
      </c>
      <c r="E249">
        <v>100</v>
      </c>
      <c r="F249">
        <v>10</v>
      </c>
      <c r="G249">
        <v>10</v>
      </c>
      <c r="H249">
        <v>10</v>
      </c>
      <c r="I249">
        <v>10</v>
      </c>
      <c r="J249">
        <v>0</v>
      </c>
      <c r="K249" s="5" t="str">
        <f>VLOOKUP(J249,[1]SkillName!$A:$B,2,FALSE)</f>
        <v>無効</v>
      </c>
      <c r="L249">
        <v>0</v>
      </c>
      <c r="M249" s="5" t="str">
        <f>VLOOKUP(L249,[1]SkillName!$A:$B,2,FALSE)</f>
        <v>無効</v>
      </c>
    </row>
    <row r="250" spans="1:13">
      <c r="A250" s="1">
        <f>VLOOKUP(B250,[1]CharaName!$A:$B,2,FALSE)</f>
        <v>0</v>
      </c>
      <c r="B250">
        <v>248</v>
      </c>
      <c r="C250" t="s">
        <v>246</v>
      </c>
      <c r="D250">
        <v>0</v>
      </c>
      <c r="E250">
        <v>100</v>
      </c>
      <c r="F250">
        <v>10</v>
      </c>
      <c r="G250">
        <v>10</v>
      </c>
      <c r="H250">
        <v>10</v>
      </c>
      <c r="I250">
        <v>10</v>
      </c>
      <c r="J250">
        <v>0</v>
      </c>
      <c r="K250" s="5" t="str">
        <f>VLOOKUP(J250,[1]SkillName!$A:$B,2,FALSE)</f>
        <v>無効</v>
      </c>
      <c r="L250">
        <v>0</v>
      </c>
      <c r="M250" s="5" t="str">
        <f>VLOOKUP(L250,[1]SkillName!$A:$B,2,FALSE)</f>
        <v>無効</v>
      </c>
    </row>
    <row r="251" spans="1:13">
      <c r="A251" s="1">
        <f>VLOOKUP(B251,[1]CharaName!$A:$B,2,FALSE)</f>
        <v>0</v>
      </c>
      <c r="B251">
        <v>249</v>
      </c>
      <c r="C251" t="s">
        <v>247</v>
      </c>
      <c r="D251">
        <v>0</v>
      </c>
      <c r="E251">
        <v>100</v>
      </c>
      <c r="F251">
        <v>10</v>
      </c>
      <c r="G251">
        <v>10</v>
      </c>
      <c r="H251">
        <v>10</v>
      </c>
      <c r="I251">
        <v>10</v>
      </c>
      <c r="J251">
        <v>0</v>
      </c>
      <c r="K251" s="5" t="str">
        <f>VLOOKUP(J251,[1]SkillName!$A:$B,2,FALSE)</f>
        <v>無効</v>
      </c>
      <c r="L251">
        <v>0</v>
      </c>
      <c r="M251" s="5" t="str">
        <f>VLOOKUP(L251,[1]SkillName!$A:$B,2,FALSE)</f>
        <v>無効</v>
      </c>
    </row>
    <row r="252" spans="1:13">
      <c r="A252" s="1">
        <f>VLOOKUP(B252,[1]CharaName!$A:$B,2,FALSE)</f>
        <v>0</v>
      </c>
      <c r="B252">
        <v>250</v>
      </c>
      <c r="C252" t="s">
        <v>248</v>
      </c>
      <c r="D252">
        <v>0</v>
      </c>
      <c r="E252">
        <v>100</v>
      </c>
      <c r="F252">
        <v>10</v>
      </c>
      <c r="G252">
        <v>10</v>
      </c>
      <c r="H252">
        <v>10</v>
      </c>
      <c r="I252">
        <v>10</v>
      </c>
      <c r="J252">
        <v>0</v>
      </c>
      <c r="K252" s="5" t="str">
        <f>VLOOKUP(J252,[1]SkillName!$A:$B,2,FALSE)</f>
        <v>無効</v>
      </c>
      <c r="L252">
        <v>0</v>
      </c>
      <c r="M252" s="5" t="str">
        <f>VLOOKUP(L252,[1]SkillName!$A:$B,2,FALSE)</f>
        <v>無効</v>
      </c>
    </row>
    <row r="253" spans="1:13">
      <c r="A253" s="1">
        <f>VLOOKUP(B253,[1]CharaName!$A:$B,2,FALSE)</f>
        <v>0</v>
      </c>
      <c r="B253">
        <v>251</v>
      </c>
      <c r="C253" t="s">
        <v>249</v>
      </c>
      <c r="D253">
        <v>0</v>
      </c>
      <c r="E253">
        <v>100</v>
      </c>
      <c r="F253">
        <v>10</v>
      </c>
      <c r="G253">
        <v>10</v>
      </c>
      <c r="H253">
        <v>10</v>
      </c>
      <c r="I253">
        <v>10</v>
      </c>
      <c r="J253">
        <v>0</v>
      </c>
      <c r="K253" s="5" t="str">
        <f>VLOOKUP(J253,[1]SkillName!$A:$B,2,FALSE)</f>
        <v>無効</v>
      </c>
      <c r="L253">
        <v>0</v>
      </c>
      <c r="M253" s="5" t="str">
        <f>VLOOKUP(L253,[1]SkillName!$A:$B,2,FALSE)</f>
        <v>無効</v>
      </c>
    </row>
    <row r="254" spans="1:13">
      <c r="A254" s="1">
        <f>VLOOKUP(B254,[1]CharaName!$A:$B,2,FALSE)</f>
        <v>0</v>
      </c>
      <c r="B254">
        <v>252</v>
      </c>
      <c r="C254" t="s">
        <v>250</v>
      </c>
      <c r="D254">
        <v>0</v>
      </c>
      <c r="E254">
        <v>100</v>
      </c>
      <c r="F254">
        <v>10</v>
      </c>
      <c r="G254">
        <v>10</v>
      </c>
      <c r="H254">
        <v>10</v>
      </c>
      <c r="I254">
        <v>10</v>
      </c>
      <c r="J254">
        <v>0</v>
      </c>
      <c r="K254" s="5" t="str">
        <f>VLOOKUP(J254,[1]SkillName!$A:$B,2,FALSE)</f>
        <v>無効</v>
      </c>
      <c r="L254">
        <v>0</v>
      </c>
      <c r="M254" s="5" t="str">
        <f>VLOOKUP(L254,[1]SkillName!$A:$B,2,FALSE)</f>
        <v>無効</v>
      </c>
    </row>
    <row r="255" spans="1:13">
      <c r="A255" s="1">
        <f>VLOOKUP(B255,[1]CharaName!$A:$B,2,FALSE)</f>
        <v>0</v>
      </c>
      <c r="B255">
        <v>253</v>
      </c>
      <c r="C255" t="s">
        <v>251</v>
      </c>
      <c r="D255">
        <v>0</v>
      </c>
      <c r="E255">
        <v>100</v>
      </c>
      <c r="F255">
        <v>10</v>
      </c>
      <c r="G255">
        <v>10</v>
      </c>
      <c r="H255">
        <v>10</v>
      </c>
      <c r="I255">
        <v>10</v>
      </c>
      <c r="J255">
        <v>0</v>
      </c>
      <c r="K255" s="5" t="str">
        <f>VLOOKUP(J255,[1]SkillName!$A:$B,2,FALSE)</f>
        <v>無効</v>
      </c>
      <c r="L255">
        <v>0</v>
      </c>
      <c r="M255" s="5" t="str">
        <f>VLOOKUP(L255,[1]SkillName!$A:$B,2,FALSE)</f>
        <v>無効</v>
      </c>
    </row>
    <row r="256" spans="1:13">
      <c r="A256" s="1">
        <f>VLOOKUP(B256,[1]CharaName!$A:$B,2,FALSE)</f>
        <v>0</v>
      </c>
      <c r="B256">
        <v>254</v>
      </c>
      <c r="C256" t="s">
        <v>252</v>
      </c>
      <c r="D256">
        <v>0</v>
      </c>
      <c r="E256">
        <v>100</v>
      </c>
      <c r="F256">
        <v>10</v>
      </c>
      <c r="G256">
        <v>10</v>
      </c>
      <c r="H256">
        <v>10</v>
      </c>
      <c r="I256">
        <v>10</v>
      </c>
      <c r="J256">
        <v>0</v>
      </c>
      <c r="K256" s="5" t="str">
        <f>VLOOKUP(J256,[1]SkillName!$A:$B,2,FALSE)</f>
        <v>無効</v>
      </c>
      <c r="L256">
        <v>0</v>
      </c>
      <c r="M256" s="5" t="str">
        <f>VLOOKUP(L256,[1]SkillName!$A:$B,2,FALSE)</f>
        <v>無効</v>
      </c>
    </row>
    <row r="257" spans="1:13">
      <c r="A257" s="1">
        <f>VLOOKUP(B257,[1]CharaName!$A:$B,2,FALSE)</f>
        <v>0</v>
      </c>
      <c r="B257">
        <v>255</v>
      </c>
      <c r="C257" t="s">
        <v>253</v>
      </c>
      <c r="D257">
        <v>0</v>
      </c>
      <c r="E257">
        <v>100</v>
      </c>
      <c r="F257">
        <v>10</v>
      </c>
      <c r="G257">
        <v>10</v>
      </c>
      <c r="H257">
        <v>10</v>
      </c>
      <c r="I257">
        <v>10</v>
      </c>
      <c r="J257">
        <v>0</v>
      </c>
      <c r="K257" s="5" t="str">
        <f>VLOOKUP(J257,[1]SkillName!$A:$B,2,FALSE)</f>
        <v>無効</v>
      </c>
      <c r="L257">
        <v>0</v>
      </c>
      <c r="M257" s="5" t="str">
        <f>VLOOKUP(L257,[1]SkillName!$A:$B,2,FALSE)</f>
        <v>無効</v>
      </c>
    </row>
    <row r="258" spans="1:13">
      <c r="A258" s="1">
        <f>VLOOKUP(B258,[1]CharaName!$A:$B,2,FALSE)</f>
        <v>0</v>
      </c>
      <c r="B258">
        <v>256</v>
      </c>
      <c r="C258" t="s">
        <v>254</v>
      </c>
      <c r="D258">
        <v>0</v>
      </c>
      <c r="E258">
        <v>100</v>
      </c>
      <c r="F258">
        <v>10</v>
      </c>
      <c r="G258">
        <v>10</v>
      </c>
      <c r="H258">
        <v>10</v>
      </c>
      <c r="I258">
        <v>10</v>
      </c>
      <c r="J258">
        <v>0</v>
      </c>
      <c r="K258" s="5" t="str">
        <f>VLOOKUP(J258,[1]SkillName!$A:$B,2,FALSE)</f>
        <v>無効</v>
      </c>
      <c r="L258">
        <v>0</v>
      </c>
      <c r="M258" s="5" t="str">
        <f>VLOOKUP(L258,[1]SkillName!$A:$B,2,FALSE)</f>
        <v>無効</v>
      </c>
    </row>
    <row r="259" spans="1:13">
      <c r="A259" s="1">
        <f>VLOOKUP(B259,[1]CharaName!$A:$B,2,FALSE)</f>
        <v>0</v>
      </c>
      <c r="B259">
        <v>257</v>
      </c>
      <c r="C259" t="s">
        <v>255</v>
      </c>
      <c r="D259">
        <v>0</v>
      </c>
      <c r="E259">
        <v>100</v>
      </c>
      <c r="F259">
        <v>10</v>
      </c>
      <c r="G259">
        <v>10</v>
      </c>
      <c r="H259">
        <v>10</v>
      </c>
      <c r="I259">
        <v>10</v>
      </c>
      <c r="J259">
        <v>0</v>
      </c>
      <c r="K259" s="5" t="str">
        <f>VLOOKUP(J259,[1]SkillName!$A:$B,2,FALSE)</f>
        <v>無効</v>
      </c>
      <c r="L259">
        <v>0</v>
      </c>
      <c r="M259" s="5" t="str">
        <f>VLOOKUP(L259,[1]SkillName!$A:$B,2,FALSE)</f>
        <v>無効</v>
      </c>
    </row>
    <row r="260" spans="1:13">
      <c r="A260" s="1">
        <f>VLOOKUP(B260,[1]CharaName!$A:$B,2,FALSE)</f>
        <v>0</v>
      </c>
      <c r="B260">
        <v>258</v>
      </c>
      <c r="C260" t="s">
        <v>256</v>
      </c>
      <c r="D260">
        <v>0</v>
      </c>
      <c r="E260">
        <v>100</v>
      </c>
      <c r="F260">
        <v>10</v>
      </c>
      <c r="G260">
        <v>10</v>
      </c>
      <c r="H260">
        <v>10</v>
      </c>
      <c r="I260">
        <v>10</v>
      </c>
      <c r="J260">
        <v>0</v>
      </c>
      <c r="K260" s="5" t="str">
        <f>VLOOKUP(J260,[1]SkillName!$A:$B,2,FALSE)</f>
        <v>無効</v>
      </c>
      <c r="L260">
        <v>0</v>
      </c>
      <c r="M260" s="5" t="str">
        <f>VLOOKUP(L260,[1]SkillName!$A:$B,2,FALSE)</f>
        <v>無効</v>
      </c>
    </row>
    <row r="261" spans="1:13">
      <c r="A261" s="1">
        <f>VLOOKUP(B261,[1]CharaName!$A:$B,2,FALSE)</f>
        <v>0</v>
      </c>
      <c r="B261">
        <v>259</v>
      </c>
      <c r="C261" t="s">
        <v>257</v>
      </c>
      <c r="D261">
        <v>0</v>
      </c>
      <c r="E261">
        <v>100</v>
      </c>
      <c r="F261">
        <v>10</v>
      </c>
      <c r="G261">
        <v>10</v>
      </c>
      <c r="H261">
        <v>10</v>
      </c>
      <c r="I261">
        <v>10</v>
      </c>
      <c r="J261">
        <v>0</v>
      </c>
      <c r="K261" s="5" t="str">
        <f>VLOOKUP(J261,[1]SkillName!$A:$B,2,FALSE)</f>
        <v>無効</v>
      </c>
      <c r="L261">
        <v>0</v>
      </c>
      <c r="M261" s="5" t="str">
        <f>VLOOKUP(L261,[1]SkillName!$A:$B,2,FALSE)</f>
        <v>無効</v>
      </c>
    </row>
    <row r="262" spans="1:13">
      <c r="A262" s="1">
        <f>VLOOKUP(B262,[1]CharaName!$A:$B,2,FALSE)</f>
        <v>0</v>
      </c>
      <c r="B262">
        <v>260</v>
      </c>
      <c r="C262" t="s">
        <v>258</v>
      </c>
      <c r="D262">
        <v>0</v>
      </c>
      <c r="E262">
        <v>100</v>
      </c>
      <c r="F262">
        <v>10</v>
      </c>
      <c r="G262">
        <v>10</v>
      </c>
      <c r="H262">
        <v>10</v>
      </c>
      <c r="I262">
        <v>10</v>
      </c>
      <c r="J262">
        <v>0</v>
      </c>
      <c r="K262" s="5" t="str">
        <f>VLOOKUP(J262,[1]SkillName!$A:$B,2,FALSE)</f>
        <v>無効</v>
      </c>
      <c r="L262">
        <v>0</v>
      </c>
      <c r="M262" s="5" t="str">
        <f>VLOOKUP(L262,[1]SkillName!$A:$B,2,FALSE)</f>
        <v>無効</v>
      </c>
    </row>
    <row r="263" spans="1:13">
      <c r="A263" s="1">
        <f>VLOOKUP(B263,[1]CharaName!$A:$B,2,FALSE)</f>
        <v>0</v>
      </c>
      <c r="B263">
        <v>261</v>
      </c>
      <c r="C263" t="s">
        <v>259</v>
      </c>
      <c r="D263">
        <v>0</v>
      </c>
      <c r="E263">
        <v>100</v>
      </c>
      <c r="F263">
        <v>10</v>
      </c>
      <c r="G263">
        <v>10</v>
      </c>
      <c r="H263">
        <v>10</v>
      </c>
      <c r="I263">
        <v>10</v>
      </c>
      <c r="J263">
        <v>0</v>
      </c>
      <c r="K263" s="5" t="str">
        <f>VLOOKUP(J263,[1]SkillName!$A:$B,2,FALSE)</f>
        <v>無効</v>
      </c>
      <c r="L263">
        <v>0</v>
      </c>
      <c r="M263" s="5" t="str">
        <f>VLOOKUP(L263,[1]SkillName!$A:$B,2,FALSE)</f>
        <v>無効</v>
      </c>
    </row>
    <row r="264" spans="1:13">
      <c r="A264" s="1">
        <f>VLOOKUP(B264,[1]CharaName!$A:$B,2,FALSE)</f>
        <v>0</v>
      </c>
      <c r="B264">
        <v>262</v>
      </c>
      <c r="C264" t="s">
        <v>260</v>
      </c>
      <c r="D264">
        <v>0</v>
      </c>
      <c r="E264">
        <v>100</v>
      </c>
      <c r="F264">
        <v>10</v>
      </c>
      <c r="G264">
        <v>10</v>
      </c>
      <c r="H264">
        <v>10</v>
      </c>
      <c r="I264">
        <v>10</v>
      </c>
      <c r="J264">
        <v>0</v>
      </c>
      <c r="K264" s="5" t="str">
        <f>VLOOKUP(J264,[1]SkillName!$A:$B,2,FALSE)</f>
        <v>無効</v>
      </c>
      <c r="L264">
        <v>0</v>
      </c>
      <c r="M264" s="5" t="str">
        <f>VLOOKUP(L264,[1]SkillName!$A:$B,2,FALSE)</f>
        <v>無効</v>
      </c>
    </row>
    <row r="265" spans="1:13">
      <c r="A265" s="1">
        <f>VLOOKUP(B265,[1]CharaName!$A:$B,2,FALSE)</f>
        <v>0</v>
      </c>
      <c r="B265">
        <v>263</v>
      </c>
      <c r="C265" t="s">
        <v>261</v>
      </c>
      <c r="D265">
        <v>0</v>
      </c>
      <c r="E265">
        <v>100</v>
      </c>
      <c r="F265">
        <v>10</v>
      </c>
      <c r="G265">
        <v>10</v>
      </c>
      <c r="H265">
        <v>10</v>
      </c>
      <c r="I265">
        <v>10</v>
      </c>
      <c r="J265">
        <v>0</v>
      </c>
      <c r="K265" s="5" t="str">
        <f>VLOOKUP(J265,[1]SkillName!$A:$B,2,FALSE)</f>
        <v>無効</v>
      </c>
      <c r="L265">
        <v>0</v>
      </c>
      <c r="M265" s="5" t="str">
        <f>VLOOKUP(L265,[1]SkillName!$A:$B,2,FALSE)</f>
        <v>無効</v>
      </c>
    </row>
    <row r="266" spans="1:13">
      <c r="A266" s="1">
        <f>VLOOKUP(B266,[1]CharaName!$A:$B,2,FALSE)</f>
        <v>0</v>
      </c>
      <c r="B266">
        <v>264</v>
      </c>
      <c r="C266" t="s">
        <v>262</v>
      </c>
      <c r="D266">
        <v>0</v>
      </c>
      <c r="E266">
        <v>100</v>
      </c>
      <c r="F266">
        <v>10</v>
      </c>
      <c r="G266">
        <v>10</v>
      </c>
      <c r="H266">
        <v>10</v>
      </c>
      <c r="I266">
        <v>10</v>
      </c>
      <c r="J266">
        <v>0</v>
      </c>
      <c r="K266" s="5" t="str">
        <f>VLOOKUP(J266,[1]SkillName!$A:$B,2,FALSE)</f>
        <v>無効</v>
      </c>
      <c r="L266">
        <v>0</v>
      </c>
      <c r="M266" s="5" t="str">
        <f>VLOOKUP(L266,[1]SkillName!$A:$B,2,FALSE)</f>
        <v>無効</v>
      </c>
    </row>
    <row r="267" spans="1:13">
      <c r="A267" s="1">
        <f>VLOOKUP(B267,[1]CharaName!$A:$B,2,FALSE)</f>
        <v>0</v>
      </c>
      <c r="B267">
        <v>265</v>
      </c>
      <c r="C267" t="s">
        <v>263</v>
      </c>
      <c r="D267">
        <v>0</v>
      </c>
      <c r="E267">
        <v>100</v>
      </c>
      <c r="F267">
        <v>10</v>
      </c>
      <c r="G267">
        <v>10</v>
      </c>
      <c r="H267">
        <v>10</v>
      </c>
      <c r="I267">
        <v>10</v>
      </c>
      <c r="J267">
        <v>0</v>
      </c>
      <c r="K267" s="5" t="str">
        <f>VLOOKUP(J267,[1]SkillName!$A:$B,2,FALSE)</f>
        <v>無効</v>
      </c>
      <c r="L267">
        <v>0</v>
      </c>
      <c r="M267" s="5" t="str">
        <f>VLOOKUP(L267,[1]SkillName!$A:$B,2,FALSE)</f>
        <v>無効</v>
      </c>
    </row>
    <row r="268" spans="1:13">
      <c r="A268" s="1">
        <f>VLOOKUP(B268,[1]CharaName!$A:$B,2,FALSE)</f>
        <v>0</v>
      </c>
      <c r="B268">
        <v>266</v>
      </c>
      <c r="C268" t="s">
        <v>264</v>
      </c>
      <c r="D268">
        <v>0</v>
      </c>
      <c r="E268">
        <v>100</v>
      </c>
      <c r="F268">
        <v>10</v>
      </c>
      <c r="G268">
        <v>10</v>
      </c>
      <c r="H268">
        <v>10</v>
      </c>
      <c r="I268">
        <v>10</v>
      </c>
      <c r="J268">
        <v>0</v>
      </c>
      <c r="K268" s="5" t="str">
        <f>VLOOKUP(J268,[1]SkillName!$A:$B,2,FALSE)</f>
        <v>無効</v>
      </c>
      <c r="L268">
        <v>0</v>
      </c>
      <c r="M268" s="5" t="str">
        <f>VLOOKUP(L268,[1]SkillName!$A:$B,2,FALSE)</f>
        <v>無効</v>
      </c>
    </row>
    <row r="269" spans="1:13">
      <c r="A269" s="1">
        <f>VLOOKUP(B269,[1]CharaName!$A:$B,2,FALSE)</f>
        <v>0</v>
      </c>
      <c r="B269">
        <v>267</v>
      </c>
      <c r="C269" t="s">
        <v>265</v>
      </c>
      <c r="D269">
        <v>0</v>
      </c>
      <c r="E269">
        <v>100</v>
      </c>
      <c r="F269">
        <v>10</v>
      </c>
      <c r="G269">
        <v>10</v>
      </c>
      <c r="H269">
        <v>10</v>
      </c>
      <c r="I269">
        <v>10</v>
      </c>
      <c r="J269">
        <v>0</v>
      </c>
      <c r="K269" s="5" t="str">
        <f>VLOOKUP(J269,[1]SkillName!$A:$B,2,FALSE)</f>
        <v>無効</v>
      </c>
      <c r="L269">
        <v>0</v>
      </c>
      <c r="M269" s="5" t="str">
        <f>VLOOKUP(L269,[1]SkillName!$A:$B,2,FALSE)</f>
        <v>無効</v>
      </c>
    </row>
    <row r="270" spans="1:13">
      <c r="A270" s="1">
        <f>VLOOKUP(B270,[1]CharaName!$A:$B,2,FALSE)</f>
        <v>0</v>
      </c>
      <c r="B270">
        <v>268</v>
      </c>
      <c r="C270" t="s">
        <v>266</v>
      </c>
      <c r="D270">
        <v>0</v>
      </c>
      <c r="E270">
        <v>100</v>
      </c>
      <c r="F270">
        <v>10</v>
      </c>
      <c r="G270">
        <v>10</v>
      </c>
      <c r="H270">
        <v>10</v>
      </c>
      <c r="I270">
        <v>10</v>
      </c>
      <c r="J270">
        <v>0</v>
      </c>
      <c r="K270" s="5" t="str">
        <f>VLOOKUP(J270,[1]SkillName!$A:$B,2,FALSE)</f>
        <v>無効</v>
      </c>
      <c r="L270">
        <v>0</v>
      </c>
      <c r="M270" s="5" t="str">
        <f>VLOOKUP(L270,[1]SkillName!$A:$B,2,FALSE)</f>
        <v>無効</v>
      </c>
    </row>
    <row r="271" spans="1:13">
      <c r="A271" s="1">
        <f>VLOOKUP(B271,[1]CharaName!$A:$B,2,FALSE)</f>
        <v>0</v>
      </c>
      <c r="B271">
        <v>269</v>
      </c>
      <c r="C271" t="s">
        <v>267</v>
      </c>
      <c r="D271">
        <v>0</v>
      </c>
      <c r="E271">
        <v>100</v>
      </c>
      <c r="F271">
        <v>10</v>
      </c>
      <c r="G271">
        <v>10</v>
      </c>
      <c r="H271">
        <v>10</v>
      </c>
      <c r="I271">
        <v>10</v>
      </c>
      <c r="J271">
        <v>0</v>
      </c>
      <c r="K271" s="5" t="str">
        <f>VLOOKUP(J271,[1]SkillName!$A:$B,2,FALSE)</f>
        <v>無効</v>
      </c>
      <c r="L271">
        <v>0</v>
      </c>
      <c r="M271" s="5" t="str">
        <f>VLOOKUP(L271,[1]SkillName!$A:$B,2,FALSE)</f>
        <v>無効</v>
      </c>
    </row>
    <row r="272" spans="1:13">
      <c r="A272" s="1">
        <f>VLOOKUP(B272,[1]CharaName!$A:$B,2,FALSE)</f>
        <v>0</v>
      </c>
      <c r="B272">
        <v>270</v>
      </c>
      <c r="C272" t="s">
        <v>268</v>
      </c>
      <c r="D272">
        <v>0</v>
      </c>
      <c r="E272">
        <v>100</v>
      </c>
      <c r="F272">
        <v>10</v>
      </c>
      <c r="G272">
        <v>10</v>
      </c>
      <c r="H272">
        <v>10</v>
      </c>
      <c r="I272">
        <v>10</v>
      </c>
      <c r="J272">
        <v>0</v>
      </c>
      <c r="K272" s="5" t="str">
        <f>VLOOKUP(J272,[1]SkillName!$A:$B,2,FALSE)</f>
        <v>無効</v>
      </c>
      <c r="L272">
        <v>0</v>
      </c>
      <c r="M272" s="5" t="str">
        <f>VLOOKUP(L272,[1]SkillName!$A:$B,2,FALSE)</f>
        <v>無効</v>
      </c>
    </row>
    <row r="273" spans="1:13">
      <c r="A273" s="1">
        <f>VLOOKUP(B273,[1]CharaName!$A:$B,2,FALSE)</f>
        <v>0</v>
      </c>
      <c r="B273">
        <v>271</v>
      </c>
      <c r="C273" t="s">
        <v>269</v>
      </c>
      <c r="D273">
        <v>0</v>
      </c>
      <c r="E273">
        <v>100</v>
      </c>
      <c r="F273">
        <v>10</v>
      </c>
      <c r="G273">
        <v>10</v>
      </c>
      <c r="H273">
        <v>10</v>
      </c>
      <c r="I273">
        <v>10</v>
      </c>
      <c r="J273">
        <v>0</v>
      </c>
      <c r="K273" s="5" t="str">
        <f>VLOOKUP(J273,[1]SkillName!$A:$B,2,FALSE)</f>
        <v>無効</v>
      </c>
      <c r="L273">
        <v>0</v>
      </c>
      <c r="M273" s="5" t="str">
        <f>VLOOKUP(L273,[1]SkillName!$A:$B,2,FALSE)</f>
        <v>無効</v>
      </c>
    </row>
    <row r="274" spans="1:13">
      <c r="A274" s="1">
        <f>VLOOKUP(B274,[1]CharaName!$A:$B,2,FALSE)</f>
        <v>0</v>
      </c>
      <c r="B274">
        <v>272</v>
      </c>
      <c r="C274" t="s">
        <v>270</v>
      </c>
      <c r="D274">
        <v>0</v>
      </c>
      <c r="E274">
        <v>100</v>
      </c>
      <c r="F274">
        <v>10</v>
      </c>
      <c r="G274">
        <v>10</v>
      </c>
      <c r="H274">
        <v>10</v>
      </c>
      <c r="I274">
        <v>10</v>
      </c>
      <c r="J274">
        <v>0</v>
      </c>
      <c r="K274" s="5" t="str">
        <f>VLOOKUP(J274,[1]SkillName!$A:$B,2,FALSE)</f>
        <v>無効</v>
      </c>
      <c r="L274">
        <v>0</v>
      </c>
      <c r="M274" s="5" t="str">
        <f>VLOOKUP(L274,[1]SkillName!$A:$B,2,FALSE)</f>
        <v>無効</v>
      </c>
    </row>
    <row r="275" spans="1:13">
      <c r="A275" s="1">
        <f>VLOOKUP(B275,[1]CharaName!$A:$B,2,FALSE)</f>
        <v>0</v>
      </c>
      <c r="B275">
        <v>273</v>
      </c>
      <c r="C275" t="s">
        <v>271</v>
      </c>
      <c r="D275">
        <v>0</v>
      </c>
      <c r="E275">
        <v>100</v>
      </c>
      <c r="F275">
        <v>10</v>
      </c>
      <c r="G275">
        <v>10</v>
      </c>
      <c r="H275">
        <v>10</v>
      </c>
      <c r="I275">
        <v>10</v>
      </c>
      <c r="J275">
        <v>0</v>
      </c>
      <c r="K275" s="5" t="str">
        <f>VLOOKUP(J275,[1]SkillName!$A:$B,2,FALSE)</f>
        <v>無効</v>
      </c>
      <c r="L275">
        <v>0</v>
      </c>
      <c r="M275" s="5" t="str">
        <f>VLOOKUP(L275,[1]SkillName!$A:$B,2,FALSE)</f>
        <v>無効</v>
      </c>
    </row>
    <row r="276" spans="1:13">
      <c r="A276" s="1">
        <f>VLOOKUP(B276,[1]CharaName!$A:$B,2,FALSE)</f>
        <v>0</v>
      </c>
      <c r="B276">
        <v>274</v>
      </c>
      <c r="C276" t="s">
        <v>272</v>
      </c>
      <c r="D276">
        <v>0</v>
      </c>
      <c r="E276">
        <v>100</v>
      </c>
      <c r="F276">
        <v>10</v>
      </c>
      <c r="G276">
        <v>10</v>
      </c>
      <c r="H276">
        <v>10</v>
      </c>
      <c r="I276">
        <v>10</v>
      </c>
      <c r="J276">
        <v>0</v>
      </c>
      <c r="K276" s="5" t="str">
        <f>VLOOKUP(J276,[1]SkillName!$A:$B,2,FALSE)</f>
        <v>無効</v>
      </c>
      <c r="L276">
        <v>0</v>
      </c>
      <c r="M276" s="5" t="str">
        <f>VLOOKUP(L276,[1]SkillName!$A:$B,2,FALSE)</f>
        <v>無効</v>
      </c>
    </row>
    <row r="277" spans="1:13">
      <c r="A277" s="1">
        <f>VLOOKUP(B277,[1]CharaName!$A:$B,2,FALSE)</f>
        <v>0</v>
      </c>
      <c r="B277">
        <v>275</v>
      </c>
      <c r="C277" t="s">
        <v>273</v>
      </c>
      <c r="D277">
        <v>0</v>
      </c>
      <c r="E277">
        <v>100</v>
      </c>
      <c r="F277">
        <v>10</v>
      </c>
      <c r="G277">
        <v>10</v>
      </c>
      <c r="H277">
        <v>10</v>
      </c>
      <c r="I277">
        <v>10</v>
      </c>
      <c r="J277">
        <v>0</v>
      </c>
      <c r="K277" s="5" t="str">
        <f>VLOOKUP(J277,[1]SkillName!$A:$B,2,FALSE)</f>
        <v>無効</v>
      </c>
      <c r="L277">
        <v>0</v>
      </c>
      <c r="M277" s="5" t="str">
        <f>VLOOKUP(L277,[1]SkillName!$A:$B,2,FALSE)</f>
        <v>無効</v>
      </c>
    </row>
    <row r="278" spans="1:13">
      <c r="A278" s="1">
        <f>VLOOKUP(B278,[1]CharaName!$A:$B,2,FALSE)</f>
        <v>0</v>
      </c>
      <c r="B278">
        <v>276</v>
      </c>
      <c r="C278" t="s">
        <v>274</v>
      </c>
      <c r="D278">
        <v>0</v>
      </c>
      <c r="E278">
        <v>100</v>
      </c>
      <c r="F278">
        <v>10</v>
      </c>
      <c r="G278">
        <v>10</v>
      </c>
      <c r="H278">
        <v>10</v>
      </c>
      <c r="I278">
        <v>10</v>
      </c>
      <c r="J278">
        <v>0</v>
      </c>
      <c r="K278" s="5" t="str">
        <f>VLOOKUP(J278,[1]SkillName!$A:$B,2,FALSE)</f>
        <v>無効</v>
      </c>
      <c r="L278">
        <v>0</v>
      </c>
      <c r="M278" s="5" t="str">
        <f>VLOOKUP(L278,[1]SkillName!$A:$B,2,FALSE)</f>
        <v>無効</v>
      </c>
    </row>
    <row r="279" spans="1:13">
      <c r="A279" s="1">
        <f>VLOOKUP(B279,[1]CharaName!$A:$B,2,FALSE)</f>
        <v>0</v>
      </c>
      <c r="B279">
        <v>277</v>
      </c>
      <c r="C279" t="s">
        <v>275</v>
      </c>
      <c r="D279">
        <v>0</v>
      </c>
      <c r="E279">
        <v>100</v>
      </c>
      <c r="F279">
        <v>10</v>
      </c>
      <c r="G279">
        <v>10</v>
      </c>
      <c r="H279">
        <v>10</v>
      </c>
      <c r="I279">
        <v>10</v>
      </c>
      <c r="J279">
        <v>0</v>
      </c>
      <c r="K279" s="5" t="str">
        <f>VLOOKUP(J279,[1]SkillName!$A:$B,2,FALSE)</f>
        <v>無効</v>
      </c>
      <c r="L279">
        <v>0</v>
      </c>
      <c r="M279" s="5" t="str">
        <f>VLOOKUP(L279,[1]SkillName!$A:$B,2,FALSE)</f>
        <v>無効</v>
      </c>
    </row>
    <row r="280" spans="1:13">
      <c r="A280" s="1">
        <f>VLOOKUP(B280,[1]CharaName!$A:$B,2,FALSE)</f>
        <v>0</v>
      </c>
      <c r="B280">
        <v>278</v>
      </c>
      <c r="C280" t="s">
        <v>276</v>
      </c>
      <c r="D280">
        <v>0</v>
      </c>
      <c r="E280">
        <v>100</v>
      </c>
      <c r="F280">
        <v>10</v>
      </c>
      <c r="G280">
        <v>10</v>
      </c>
      <c r="H280">
        <v>10</v>
      </c>
      <c r="I280">
        <v>10</v>
      </c>
      <c r="J280">
        <v>0</v>
      </c>
      <c r="K280" s="5" t="str">
        <f>VLOOKUP(J280,[1]SkillName!$A:$B,2,FALSE)</f>
        <v>無効</v>
      </c>
      <c r="L280">
        <v>0</v>
      </c>
      <c r="M280" s="5" t="str">
        <f>VLOOKUP(L280,[1]SkillName!$A:$B,2,FALSE)</f>
        <v>無効</v>
      </c>
    </row>
    <row r="281" spans="1:13">
      <c r="A281" s="1">
        <f>VLOOKUP(B281,[1]CharaName!$A:$B,2,FALSE)</f>
        <v>0</v>
      </c>
      <c r="B281">
        <v>279</v>
      </c>
      <c r="C281" t="s">
        <v>277</v>
      </c>
      <c r="D281">
        <v>0</v>
      </c>
      <c r="E281">
        <v>100</v>
      </c>
      <c r="F281">
        <v>10</v>
      </c>
      <c r="G281">
        <v>10</v>
      </c>
      <c r="H281">
        <v>10</v>
      </c>
      <c r="I281">
        <v>10</v>
      </c>
      <c r="J281">
        <v>0</v>
      </c>
      <c r="K281" s="5" t="str">
        <f>VLOOKUP(J281,[1]SkillName!$A:$B,2,FALSE)</f>
        <v>無効</v>
      </c>
      <c r="L281">
        <v>0</v>
      </c>
      <c r="M281" s="5" t="str">
        <f>VLOOKUP(L281,[1]SkillName!$A:$B,2,FALSE)</f>
        <v>無効</v>
      </c>
    </row>
    <row r="282" spans="1:13">
      <c r="A282" s="1">
        <f>VLOOKUP(B282,[1]CharaName!$A:$B,2,FALSE)</f>
        <v>0</v>
      </c>
      <c r="B282">
        <v>280</v>
      </c>
      <c r="C282" t="s">
        <v>278</v>
      </c>
      <c r="D282">
        <v>0</v>
      </c>
      <c r="E282">
        <v>100</v>
      </c>
      <c r="F282">
        <v>10</v>
      </c>
      <c r="G282">
        <v>10</v>
      </c>
      <c r="H282">
        <v>10</v>
      </c>
      <c r="I282">
        <v>10</v>
      </c>
      <c r="J282">
        <v>0</v>
      </c>
      <c r="K282" s="5" t="str">
        <f>VLOOKUP(J282,[1]SkillName!$A:$B,2,FALSE)</f>
        <v>無効</v>
      </c>
      <c r="L282">
        <v>0</v>
      </c>
      <c r="M282" s="5" t="str">
        <f>VLOOKUP(L282,[1]SkillName!$A:$B,2,FALSE)</f>
        <v>無効</v>
      </c>
    </row>
    <row r="283" spans="1:13">
      <c r="A283" s="1">
        <f>VLOOKUP(B283,[1]CharaName!$A:$B,2,FALSE)</f>
        <v>0</v>
      </c>
      <c r="B283">
        <v>281</v>
      </c>
      <c r="C283" t="s">
        <v>279</v>
      </c>
      <c r="D283">
        <v>0</v>
      </c>
      <c r="E283">
        <v>100</v>
      </c>
      <c r="F283">
        <v>10</v>
      </c>
      <c r="G283">
        <v>10</v>
      </c>
      <c r="H283">
        <v>10</v>
      </c>
      <c r="I283">
        <v>10</v>
      </c>
      <c r="J283">
        <v>0</v>
      </c>
      <c r="K283" s="5" t="str">
        <f>VLOOKUP(J283,[1]SkillName!$A:$B,2,FALSE)</f>
        <v>無効</v>
      </c>
      <c r="L283">
        <v>0</v>
      </c>
      <c r="M283" s="5" t="str">
        <f>VLOOKUP(L283,[1]SkillName!$A:$B,2,FALSE)</f>
        <v>無効</v>
      </c>
    </row>
    <row r="284" spans="1:13">
      <c r="A284" s="1">
        <f>VLOOKUP(B284,[1]CharaName!$A:$B,2,FALSE)</f>
        <v>0</v>
      </c>
      <c r="B284">
        <v>282</v>
      </c>
      <c r="C284" t="s">
        <v>280</v>
      </c>
      <c r="D284">
        <v>0</v>
      </c>
      <c r="E284">
        <v>100</v>
      </c>
      <c r="F284">
        <v>10</v>
      </c>
      <c r="G284">
        <v>10</v>
      </c>
      <c r="H284">
        <v>10</v>
      </c>
      <c r="I284">
        <v>10</v>
      </c>
      <c r="J284">
        <v>0</v>
      </c>
      <c r="K284" s="5" t="str">
        <f>VLOOKUP(J284,[1]SkillName!$A:$B,2,FALSE)</f>
        <v>無効</v>
      </c>
      <c r="L284">
        <v>0</v>
      </c>
      <c r="M284" s="5" t="str">
        <f>VLOOKUP(L284,[1]SkillName!$A:$B,2,FALSE)</f>
        <v>無効</v>
      </c>
    </row>
    <row r="285" spans="1:13">
      <c r="A285" s="1">
        <f>VLOOKUP(B285,[1]CharaName!$A:$B,2,FALSE)</f>
        <v>0</v>
      </c>
      <c r="B285">
        <v>283</v>
      </c>
      <c r="C285" t="s">
        <v>281</v>
      </c>
      <c r="D285">
        <v>0</v>
      </c>
      <c r="E285">
        <v>100</v>
      </c>
      <c r="F285">
        <v>10</v>
      </c>
      <c r="G285">
        <v>10</v>
      </c>
      <c r="H285">
        <v>10</v>
      </c>
      <c r="I285">
        <v>10</v>
      </c>
      <c r="J285">
        <v>0</v>
      </c>
      <c r="K285" s="5" t="str">
        <f>VLOOKUP(J285,[1]SkillName!$A:$B,2,FALSE)</f>
        <v>無効</v>
      </c>
      <c r="L285">
        <v>0</v>
      </c>
      <c r="M285" s="5" t="str">
        <f>VLOOKUP(L285,[1]SkillName!$A:$B,2,FALSE)</f>
        <v>無効</v>
      </c>
    </row>
    <row r="286" spans="1:13">
      <c r="A286" s="1">
        <f>VLOOKUP(B286,[1]CharaName!$A:$B,2,FALSE)</f>
        <v>0</v>
      </c>
      <c r="B286">
        <v>284</v>
      </c>
      <c r="C286" t="s">
        <v>282</v>
      </c>
      <c r="D286">
        <v>0</v>
      </c>
      <c r="E286">
        <v>100</v>
      </c>
      <c r="F286">
        <v>10</v>
      </c>
      <c r="G286">
        <v>10</v>
      </c>
      <c r="H286">
        <v>10</v>
      </c>
      <c r="I286">
        <v>10</v>
      </c>
      <c r="J286">
        <v>0</v>
      </c>
      <c r="K286" s="5" t="str">
        <f>VLOOKUP(J286,[1]SkillName!$A:$B,2,FALSE)</f>
        <v>無効</v>
      </c>
      <c r="L286">
        <v>0</v>
      </c>
      <c r="M286" s="5" t="str">
        <f>VLOOKUP(L286,[1]SkillName!$A:$B,2,FALSE)</f>
        <v>無効</v>
      </c>
    </row>
    <row r="287" spans="1:13">
      <c r="A287" s="1">
        <f>VLOOKUP(B287,[1]CharaName!$A:$B,2,FALSE)</f>
        <v>0</v>
      </c>
      <c r="B287">
        <v>285</v>
      </c>
      <c r="C287" t="s">
        <v>283</v>
      </c>
      <c r="D287">
        <v>0</v>
      </c>
      <c r="E287">
        <v>100</v>
      </c>
      <c r="F287">
        <v>10</v>
      </c>
      <c r="G287">
        <v>10</v>
      </c>
      <c r="H287">
        <v>10</v>
      </c>
      <c r="I287">
        <v>10</v>
      </c>
      <c r="J287">
        <v>0</v>
      </c>
      <c r="K287" s="5" t="str">
        <f>VLOOKUP(J287,[1]SkillName!$A:$B,2,FALSE)</f>
        <v>無効</v>
      </c>
      <c r="L287">
        <v>0</v>
      </c>
      <c r="M287" s="5" t="str">
        <f>VLOOKUP(L287,[1]SkillName!$A:$B,2,FALSE)</f>
        <v>無効</v>
      </c>
    </row>
    <row r="288" spans="1:13">
      <c r="A288" s="1">
        <f>VLOOKUP(B288,[1]CharaName!$A:$B,2,FALSE)</f>
        <v>0</v>
      </c>
      <c r="B288">
        <v>286</v>
      </c>
      <c r="C288" t="s">
        <v>284</v>
      </c>
      <c r="D288">
        <v>0</v>
      </c>
      <c r="E288">
        <v>100</v>
      </c>
      <c r="F288">
        <v>10</v>
      </c>
      <c r="G288">
        <v>10</v>
      </c>
      <c r="H288">
        <v>10</v>
      </c>
      <c r="I288">
        <v>10</v>
      </c>
      <c r="J288">
        <v>0</v>
      </c>
      <c r="K288" s="5" t="str">
        <f>VLOOKUP(J288,[1]SkillName!$A:$B,2,FALSE)</f>
        <v>無効</v>
      </c>
      <c r="L288">
        <v>0</v>
      </c>
      <c r="M288" s="5" t="str">
        <f>VLOOKUP(L288,[1]SkillName!$A:$B,2,FALSE)</f>
        <v>無効</v>
      </c>
    </row>
    <row r="289" spans="1:13">
      <c r="A289" s="1">
        <f>VLOOKUP(B289,[1]CharaName!$A:$B,2,FALSE)</f>
        <v>0</v>
      </c>
      <c r="B289">
        <v>287</v>
      </c>
      <c r="C289" t="s">
        <v>285</v>
      </c>
      <c r="D289">
        <v>0</v>
      </c>
      <c r="E289">
        <v>100</v>
      </c>
      <c r="F289">
        <v>10</v>
      </c>
      <c r="G289">
        <v>10</v>
      </c>
      <c r="H289">
        <v>10</v>
      </c>
      <c r="I289">
        <v>10</v>
      </c>
      <c r="J289">
        <v>0</v>
      </c>
      <c r="K289" s="5" t="str">
        <f>VLOOKUP(J289,[1]SkillName!$A:$B,2,FALSE)</f>
        <v>無効</v>
      </c>
      <c r="L289">
        <v>0</v>
      </c>
      <c r="M289" s="5" t="str">
        <f>VLOOKUP(L289,[1]SkillName!$A:$B,2,FALSE)</f>
        <v>無効</v>
      </c>
    </row>
    <row r="290" spans="1:13">
      <c r="A290" s="1">
        <f>VLOOKUP(B290,[1]CharaName!$A:$B,2,FALSE)</f>
        <v>0</v>
      </c>
      <c r="B290">
        <v>288</v>
      </c>
      <c r="C290" t="s">
        <v>286</v>
      </c>
      <c r="D290">
        <v>0</v>
      </c>
      <c r="E290">
        <v>100</v>
      </c>
      <c r="F290">
        <v>10</v>
      </c>
      <c r="G290">
        <v>10</v>
      </c>
      <c r="H290">
        <v>10</v>
      </c>
      <c r="I290">
        <v>10</v>
      </c>
      <c r="J290">
        <v>0</v>
      </c>
      <c r="K290" s="5" t="str">
        <f>VLOOKUP(J290,[1]SkillName!$A:$B,2,FALSE)</f>
        <v>無効</v>
      </c>
      <c r="L290">
        <v>0</v>
      </c>
      <c r="M290" s="5" t="str">
        <f>VLOOKUP(L290,[1]SkillName!$A:$B,2,FALSE)</f>
        <v>無効</v>
      </c>
    </row>
    <row r="291" spans="1:13">
      <c r="A291" s="1">
        <f>VLOOKUP(B291,[1]CharaName!$A:$B,2,FALSE)</f>
        <v>0</v>
      </c>
      <c r="B291">
        <v>289</v>
      </c>
      <c r="C291" t="s">
        <v>287</v>
      </c>
      <c r="D291">
        <v>0</v>
      </c>
      <c r="E291">
        <v>100</v>
      </c>
      <c r="F291">
        <v>10</v>
      </c>
      <c r="G291">
        <v>10</v>
      </c>
      <c r="H291">
        <v>10</v>
      </c>
      <c r="I291">
        <v>10</v>
      </c>
      <c r="J291">
        <v>0</v>
      </c>
      <c r="K291" s="5" t="str">
        <f>VLOOKUP(J291,[1]SkillName!$A:$B,2,FALSE)</f>
        <v>無効</v>
      </c>
      <c r="L291">
        <v>0</v>
      </c>
      <c r="M291" s="5" t="str">
        <f>VLOOKUP(L291,[1]SkillName!$A:$B,2,FALSE)</f>
        <v>無効</v>
      </c>
    </row>
    <row r="292" spans="1:13">
      <c r="A292" s="1">
        <f>VLOOKUP(B292,[1]CharaName!$A:$B,2,FALSE)</f>
        <v>0</v>
      </c>
      <c r="B292">
        <v>290</v>
      </c>
      <c r="C292" t="s">
        <v>288</v>
      </c>
      <c r="D292">
        <v>0</v>
      </c>
      <c r="E292">
        <v>100</v>
      </c>
      <c r="F292">
        <v>10</v>
      </c>
      <c r="G292">
        <v>10</v>
      </c>
      <c r="H292">
        <v>10</v>
      </c>
      <c r="I292">
        <v>10</v>
      </c>
      <c r="J292">
        <v>0</v>
      </c>
      <c r="K292" s="5" t="str">
        <f>VLOOKUP(J292,[1]SkillName!$A:$B,2,FALSE)</f>
        <v>無効</v>
      </c>
      <c r="L292">
        <v>0</v>
      </c>
      <c r="M292" s="5" t="str">
        <f>VLOOKUP(L292,[1]SkillName!$A:$B,2,FALSE)</f>
        <v>無効</v>
      </c>
    </row>
    <row r="293" spans="1:13">
      <c r="A293" s="1">
        <f>VLOOKUP(B293,[1]CharaName!$A:$B,2,FALSE)</f>
        <v>0</v>
      </c>
      <c r="B293">
        <v>291</v>
      </c>
      <c r="C293" t="s">
        <v>289</v>
      </c>
      <c r="D293">
        <v>0</v>
      </c>
      <c r="E293">
        <v>100</v>
      </c>
      <c r="F293">
        <v>10</v>
      </c>
      <c r="G293">
        <v>10</v>
      </c>
      <c r="H293">
        <v>10</v>
      </c>
      <c r="I293">
        <v>10</v>
      </c>
      <c r="J293">
        <v>0</v>
      </c>
      <c r="K293" s="5" t="str">
        <f>VLOOKUP(J293,[1]SkillName!$A:$B,2,FALSE)</f>
        <v>無効</v>
      </c>
      <c r="L293">
        <v>0</v>
      </c>
      <c r="M293" s="5" t="str">
        <f>VLOOKUP(L293,[1]SkillName!$A:$B,2,FALSE)</f>
        <v>無効</v>
      </c>
    </row>
    <row r="294" spans="1:13">
      <c r="A294" s="1">
        <f>VLOOKUP(B294,[1]CharaName!$A:$B,2,FALSE)</f>
        <v>0</v>
      </c>
      <c r="B294">
        <v>292</v>
      </c>
      <c r="C294" t="s">
        <v>290</v>
      </c>
      <c r="D294">
        <v>0</v>
      </c>
      <c r="E294">
        <v>100</v>
      </c>
      <c r="F294">
        <v>10</v>
      </c>
      <c r="G294">
        <v>10</v>
      </c>
      <c r="H294">
        <v>10</v>
      </c>
      <c r="I294">
        <v>10</v>
      </c>
      <c r="J294">
        <v>0</v>
      </c>
      <c r="K294" s="5" t="str">
        <f>VLOOKUP(J294,[1]SkillName!$A:$B,2,FALSE)</f>
        <v>無効</v>
      </c>
      <c r="L294">
        <v>0</v>
      </c>
      <c r="M294" s="5" t="str">
        <f>VLOOKUP(L294,[1]SkillName!$A:$B,2,FALSE)</f>
        <v>無効</v>
      </c>
    </row>
    <row r="295" spans="1:13">
      <c r="A295" s="1">
        <f>VLOOKUP(B295,[1]CharaName!$A:$B,2,FALSE)</f>
        <v>0</v>
      </c>
      <c r="B295">
        <v>293</v>
      </c>
      <c r="C295" t="s">
        <v>291</v>
      </c>
      <c r="D295">
        <v>0</v>
      </c>
      <c r="E295">
        <v>100</v>
      </c>
      <c r="F295">
        <v>10</v>
      </c>
      <c r="G295">
        <v>10</v>
      </c>
      <c r="H295">
        <v>10</v>
      </c>
      <c r="I295">
        <v>10</v>
      </c>
      <c r="J295">
        <v>0</v>
      </c>
      <c r="K295" s="5" t="str">
        <f>VLOOKUP(J295,[1]SkillName!$A:$B,2,FALSE)</f>
        <v>無効</v>
      </c>
      <c r="L295">
        <v>0</v>
      </c>
      <c r="M295" s="5" t="str">
        <f>VLOOKUP(L295,[1]SkillName!$A:$B,2,FALSE)</f>
        <v>無効</v>
      </c>
    </row>
    <row r="296" spans="1:13">
      <c r="A296" s="1">
        <f>VLOOKUP(B296,[1]CharaName!$A:$B,2,FALSE)</f>
        <v>0</v>
      </c>
      <c r="B296">
        <v>294</v>
      </c>
      <c r="C296" t="s">
        <v>292</v>
      </c>
      <c r="D296">
        <v>0</v>
      </c>
      <c r="E296">
        <v>100</v>
      </c>
      <c r="F296">
        <v>10</v>
      </c>
      <c r="G296">
        <v>10</v>
      </c>
      <c r="H296">
        <v>10</v>
      </c>
      <c r="I296">
        <v>10</v>
      </c>
      <c r="J296">
        <v>0</v>
      </c>
      <c r="K296" s="5" t="str">
        <f>VLOOKUP(J296,[1]SkillName!$A:$B,2,FALSE)</f>
        <v>無効</v>
      </c>
      <c r="L296">
        <v>0</v>
      </c>
      <c r="M296" s="5" t="str">
        <f>VLOOKUP(L296,[1]SkillName!$A:$B,2,FALSE)</f>
        <v>無効</v>
      </c>
    </row>
    <row r="297" spans="1:13">
      <c r="A297" s="1">
        <f>VLOOKUP(B297,[1]CharaName!$A:$B,2,FALSE)</f>
        <v>0</v>
      </c>
      <c r="B297">
        <v>295</v>
      </c>
      <c r="C297" t="s">
        <v>293</v>
      </c>
      <c r="D297">
        <v>0</v>
      </c>
      <c r="E297">
        <v>100</v>
      </c>
      <c r="F297">
        <v>10</v>
      </c>
      <c r="G297">
        <v>10</v>
      </c>
      <c r="H297">
        <v>10</v>
      </c>
      <c r="I297">
        <v>10</v>
      </c>
      <c r="J297">
        <v>0</v>
      </c>
      <c r="K297" s="5" t="str">
        <f>VLOOKUP(J297,[1]SkillName!$A:$B,2,FALSE)</f>
        <v>無効</v>
      </c>
      <c r="L297">
        <v>0</v>
      </c>
      <c r="M297" s="5" t="str">
        <f>VLOOKUP(L297,[1]SkillName!$A:$B,2,FALSE)</f>
        <v>無効</v>
      </c>
    </row>
    <row r="298" spans="1:13">
      <c r="A298" s="1">
        <f>VLOOKUP(B298,[1]CharaName!$A:$B,2,FALSE)</f>
        <v>0</v>
      </c>
      <c r="B298">
        <v>296</v>
      </c>
      <c r="C298" t="s">
        <v>294</v>
      </c>
      <c r="D298">
        <v>0</v>
      </c>
      <c r="E298">
        <v>100</v>
      </c>
      <c r="F298">
        <v>10</v>
      </c>
      <c r="G298">
        <v>10</v>
      </c>
      <c r="H298">
        <v>10</v>
      </c>
      <c r="I298">
        <v>10</v>
      </c>
      <c r="J298">
        <v>0</v>
      </c>
      <c r="K298" s="5" t="str">
        <f>VLOOKUP(J298,[1]SkillName!$A:$B,2,FALSE)</f>
        <v>無効</v>
      </c>
      <c r="L298">
        <v>0</v>
      </c>
      <c r="M298" s="5" t="str">
        <f>VLOOKUP(L298,[1]SkillName!$A:$B,2,FALSE)</f>
        <v>無効</v>
      </c>
    </row>
    <row r="299" spans="1:13">
      <c r="A299" s="1">
        <f>VLOOKUP(B299,[1]CharaName!$A:$B,2,FALSE)</f>
        <v>0</v>
      </c>
      <c r="B299">
        <v>297</v>
      </c>
      <c r="C299" t="s">
        <v>295</v>
      </c>
      <c r="D299">
        <v>0</v>
      </c>
      <c r="E299">
        <v>100</v>
      </c>
      <c r="F299">
        <v>10</v>
      </c>
      <c r="G299">
        <v>10</v>
      </c>
      <c r="H299">
        <v>10</v>
      </c>
      <c r="I299">
        <v>10</v>
      </c>
      <c r="J299">
        <v>0</v>
      </c>
      <c r="K299" s="5" t="str">
        <f>VLOOKUP(J299,[1]SkillName!$A:$B,2,FALSE)</f>
        <v>無効</v>
      </c>
      <c r="L299">
        <v>0</v>
      </c>
      <c r="M299" s="5" t="str">
        <f>VLOOKUP(L299,[1]SkillName!$A:$B,2,FALSE)</f>
        <v>無効</v>
      </c>
    </row>
    <row r="300" spans="1:13">
      <c r="A300" s="1">
        <f>VLOOKUP(B300,[1]CharaName!$A:$B,2,FALSE)</f>
        <v>0</v>
      </c>
      <c r="B300">
        <v>298</v>
      </c>
      <c r="C300" t="s">
        <v>296</v>
      </c>
      <c r="D300">
        <v>0</v>
      </c>
      <c r="E300">
        <v>100</v>
      </c>
      <c r="F300">
        <v>10</v>
      </c>
      <c r="G300">
        <v>10</v>
      </c>
      <c r="H300">
        <v>10</v>
      </c>
      <c r="I300">
        <v>10</v>
      </c>
      <c r="J300">
        <v>0</v>
      </c>
      <c r="K300" s="5" t="str">
        <f>VLOOKUP(J300,[1]SkillName!$A:$B,2,FALSE)</f>
        <v>無効</v>
      </c>
      <c r="L300">
        <v>0</v>
      </c>
      <c r="M300" s="5" t="str">
        <f>VLOOKUP(L300,[1]SkillName!$A:$B,2,FALSE)</f>
        <v>無効</v>
      </c>
    </row>
    <row r="301" spans="1:13">
      <c r="A301" s="1">
        <f>VLOOKUP(B301,[1]CharaName!$A:$B,2,FALSE)</f>
        <v>0</v>
      </c>
      <c r="B301">
        <v>299</v>
      </c>
      <c r="C301" t="s">
        <v>297</v>
      </c>
      <c r="D301">
        <v>0</v>
      </c>
      <c r="E301">
        <v>100</v>
      </c>
      <c r="F301">
        <v>10</v>
      </c>
      <c r="G301">
        <v>10</v>
      </c>
      <c r="H301">
        <v>10</v>
      </c>
      <c r="I301">
        <v>10</v>
      </c>
      <c r="J301">
        <v>0</v>
      </c>
      <c r="K301" s="5" t="str">
        <f>VLOOKUP(J301,[1]SkillName!$A:$B,2,FALSE)</f>
        <v>無効</v>
      </c>
      <c r="L301">
        <v>0</v>
      </c>
      <c r="M301" s="5" t="str">
        <f>VLOOKUP(L301,[1]SkillName!$A:$B,2,FALSE)</f>
        <v>無効</v>
      </c>
    </row>
    <row r="302" spans="1:13">
      <c r="A302" s="1" t="str">
        <f>VLOOKUP(B302,[1]CharaName!$A:$B,2,FALSE)</f>
        <v>上杉　摩謙勇</v>
      </c>
      <c r="B302">
        <v>300</v>
      </c>
      <c r="C302" t="s">
        <v>298</v>
      </c>
      <c r="D302">
        <v>0</v>
      </c>
      <c r="E302">
        <v>100</v>
      </c>
      <c r="F302">
        <v>10</v>
      </c>
      <c r="G302">
        <v>10</v>
      </c>
      <c r="H302">
        <v>10</v>
      </c>
      <c r="I302">
        <v>10</v>
      </c>
      <c r="J302">
        <v>0</v>
      </c>
      <c r="K302" s="5" t="str">
        <f>VLOOKUP(J302,[1]SkillName!$A:$B,2,FALSE)</f>
        <v>無効</v>
      </c>
      <c r="L302">
        <v>0</v>
      </c>
      <c r="M302" s="5" t="str">
        <f>VLOOKUP(L302,[1]SkillName!$A:$B,2,FALSE)</f>
        <v>無効</v>
      </c>
    </row>
    <row r="303" spans="1:13">
      <c r="A303" s="1" t="str">
        <f>VLOOKUP(B303,[1]CharaName!$A:$B,2,FALSE)</f>
        <v>けだま</v>
      </c>
      <c r="B303">
        <v>301</v>
      </c>
      <c r="C303" t="s">
        <v>299</v>
      </c>
      <c r="D303">
        <v>0</v>
      </c>
      <c r="E303">
        <v>100</v>
      </c>
      <c r="F303">
        <v>10</v>
      </c>
      <c r="G303">
        <v>10</v>
      </c>
      <c r="H303">
        <v>10</v>
      </c>
      <c r="I303">
        <v>10</v>
      </c>
      <c r="J303">
        <v>0</v>
      </c>
      <c r="K303" s="5" t="str">
        <f>VLOOKUP(J303,[1]SkillName!$A:$B,2,FALSE)</f>
        <v>無効</v>
      </c>
      <c r="L303">
        <v>0</v>
      </c>
      <c r="M303" s="5" t="str">
        <f>VLOOKUP(L303,[1]SkillName!$A:$B,2,FALSE)</f>
        <v>無効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utputCharaFixData">
                <anchor moveWithCells="1" sizeWithCells="1">
                  <from>
                    <xdr:col>14</xdr:col>
                    <xdr:colOff>314325</xdr:colOff>
                    <xdr:row>4</xdr:row>
                    <xdr:rowOff>57150</xdr:rowOff>
                  </from>
                  <to>
                    <xdr:col>16</xdr:col>
                    <xdr:colOff>619125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302"/>
  <sheetViews>
    <sheetView tabSelected="1" topLeftCell="A2" workbookViewId="0">
      <selection activeCell="K30" sqref="K30"/>
    </sheetView>
  </sheetViews>
  <sheetFormatPr defaultRowHeight="18.75"/>
  <cols>
    <col min="1" max="1" width="33.625" style="1" customWidth="1"/>
    <col min="3" max="3" width="29.75" customWidth="1"/>
    <col min="4" max="4" width="12.25" customWidth="1"/>
    <col min="5" max="5" width="18" style="1" customWidth="1"/>
    <col min="6" max="6" width="12.875" customWidth="1"/>
    <col min="7" max="7" width="18" style="1" customWidth="1"/>
    <col min="8" max="8" width="15.75" customWidth="1"/>
    <col min="9" max="9" width="18" style="1" customWidth="1"/>
    <col min="10" max="10" width="15.625" customWidth="1"/>
    <col min="11" max="11" width="17.125" style="2" customWidth="1"/>
    <col min="12" max="12" width="17.875" style="1" customWidth="1"/>
  </cols>
  <sheetData>
    <row r="1" spans="1:12" ht="75">
      <c r="A1" s="1" t="s">
        <v>2</v>
      </c>
      <c r="B1" t="s">
        <v>0</v>
      </c>
      <c r="C1" t="s">
        <v>311</v>
      </c>
      <c r="D1" s="2" t="s">
        <v>325</v>
      </c>
      <c r="E1" s="3" t="s">
        <v>327</v>
      </c>
      <c r="F1" t="s">
        <v>312</v>
      </c>
      <c r="G1" s="3" t="s">
        <v>326</v>
      </c>
      <c r="H1" t="s">
        <v>320</v>
      </c>
      <c r="I1" s="3" t="s">
        <v>329</v>
      </c>
      <c r="J1" t="s">
        <v>328</v>
      </c>
      <c r="K1" s="2" t="s">
        <v>322</v>
      </c>
      <c r="L1" s="3" t="s">
        <v>330</v>
      </c>
    </row>
    <row r="2" spans="1:12">
      <c r="A2" s="1" t="str">
        <f>VLOOKUP(B2,[1]SkillName!$A:$B,2,FALSE)</f>
        <v>無効</v>
      </c>
      <c r="B2">
        <v>0</v>
      </c>
      <c r="C2" t="s">
        <v>335</v>
      </c>
      <c r="D2" s="2">
        <v>0</v>
      </c>
      <c r="E2" s="1" t="str">
        <f>VLOOKUP(D2,定義!$A$2:$D$4,4,FALSE)</f>
        <v>無_物理</v>
      </c>
      <c r="F2">
        <v>0</v>
      </c>
      <c r="G2" s="1" t="str">
        <f>VLOOKUP(F2,定義!$A$2:$C$4,2,FALSE)</f>
        <v>ダメージ</v>
      </c>
      <c r="H2">
        <v>0</v>
      </c>
      <c r="I2" s="1" t="str">
        <f>VLOOKUP(H2,定義!$A$2:$C$4,3,FALSE)</f>
        <v>敵</v>
      </c>
      <c r="J2">
        <v>0</v>
      </c>
      <c r="K2" s="2">
        <v>1000</v>
      </c>
      <c r="L2" s="1">
        <f t="shared" ref="L2:L4" si="0">J2*1000/K2</f>
        <v>0</v>
      </c>
    </row>
    <row r="3" spans="1:12">
      <c r="A3" s="1" t="str">
        <f>VLOOKUP(B3,[1]SkillName!$A:$B,2,FALSE)</f>
        <v>空条　傘夏スキル１</v>
      </c>
      <c r="B3">
        <v>1</v>
      </c>
      <c r="C3" t="s">
        <v>335</v>
      </c>
      <c r="D3" s="2">
        <v>0</v>
      </c>
      <c r="E3" s="1" t="str">
        <f>VLOOKUP(D3,定義!$A$2:$D$4,4,FALSE)</f>
        <v>無_物理</v>
      </c>
      <c r="F3">
        <v>0</v>
      </c>
      <c r="G3" s="1" t="str">
        <f>VLOOKUP(F3,定義!$A$2:$C$4,2,FALSE)</f>
        <v>ダメージ</v>
      </c>
      <c r="H3">
        <v>0</v>
      </c>
      <c r="I3" s="1" t="str">
        <f>VLOOKUP(H3,定義!$A$2:$C$4,3,FALSE)</f>
        <v>敵</v>
      </c>
      <c r="J3">
        <v>100</v>
      </c>
      <c r="K3" s="2">
        <v>5000</v>
      </c>
      <c r="L3" s="1">
        <f t="shared" si="0"/>
        <v>20</v>
      </c>
    </row>
    <row r="4" spans="1:12">
      <c r="A4" s="1" t="str">
        <f>VLOOKUP(B4,[1]SkillName!$A:$B,2,FALSE)</f>
        <v>空条　傘夏スキル２</v>
      </c>
      <c r="B4">
        <v>2</v>
      </c>
      <c r="C4" t="s">
        <v>337</v>
      </c>
      <c r="D4" s="2">
        <v>0</v>
      </c>
      <c r="E4" s="1" t="str">
        <f>VLOOKUP(D4,定義!$A$2:$D$4,4,FALSE)</f>
        <v>無_物理</v>
      </c>
      <c r="F4">
        <v>0</v>
      </c>
      <c r="G4" s="1" t="str">
        <f>VLOOKUP(F4,定義!$A$2:$C$4,2,FALSE)</f>
        <v>ダメージ</v>
      </c>
      <c r="H4">
        <v>0</v>
      </c>
      <c r="I4" s="1" t="str">
        <f>VLOOKUP(H4,定義!$A$2:$C$4,3,FALSE)</f>
        <v>敵</v>
      </c>
      <c r="J4">
        <v>600</v>
      </c>
      <c r="K4" s="2">
        <v>15000</v>
      </c>
      <c r="L4" s="1">
        <f t="shared" si="0"/>
        <v>40</v>
      </c>
    </row>
    <row r="5" spans="1:12">
      <c r="A5" s="1" t="str">
        <f>VLOOKUP(B5,[1]SkillName!$A:$B,2,FALSE)</f>
        <v>八海さんスキル１</v>
      </c>
      <c r="B5">
        <v>3</v>
      </c>
      <c r="C5" t="s">
        <v>335</v>
      </c>
      <c r="D5" s="2">
        <v>0</v>
      </c>
      <c r="E5" s="1" t="str">
        <f>VLOOKUP(D5,定義!$A$2:$D$4,4,FALSE)</f>
        <v>無_物理</v>
      </c>
      <c r="F5">
        <v>0</v>
      </c>
      <c r="G5" s="1" t="str">
        <f>VLOOKUP(F5,定義!$A$2:$C$4,2,FALSE)</f>
        <v>ダメージ</v>
      </c>
      <c r="H5">
        <v>0</v>
      </c>
      <c r="I5" s="1" t="str">
        <f>VLOOKUP(H5,定義!$A$2:$C$4,3,FALSE)</f>
        <v>敵</v>
      </c>
      <c r="J5">
        <v>100</v>
      </c>
      <c r="K5" s="2">
        <v>5000</v>
      </c>
      <c r="L5" s="1">
        <f>J5*1000/K5</f>
        <v>20</v>
      </c>
    </row>
    <row r="6" spans="1:12">
      <c r="A6" s="1" t="str">
        <f>VLOOKUP(B6,[1]SkillName!$A:$B,2,FALSE)</f>
        <v>八海さんスキル２</v>
      </c>
      <c r="B6">
        <v>4</v>
      </c>
      <c r="C6" t="s">
        <v>337</v>
      </c>
      <c r="D6" s="2">
        <v>0</v>
      </c>
      <c r="E6" s="1" t="str">
        <f>VLOOKUP(D6,定義!$A$2:$D$4,4,FALSE)</f>
        <v>無_物理</v>
      </c>
      <c r="F6">
        <v>0</v>
      </c>
      <c r="G6" s="1" t="str">
        <f>VLOOKUP(F6,定義!$A$2:$C$4,2,FALSE)</f>
        <v>ダメージ</v>
      </c>
      <c r="H6">
        <v>0</v>
      </c>
      <c r="I6" s="1" t="str">
        <f>VLOOKUP(H6,定義!$A$2:$C$4,3,FALSE)</f>
        <v>敵</v>
      </c>
      <c r="J6">
        <v>600</v>
      </c>
      <c r="K6" s="2">
        <v>15000</v>
      </c>
      <c r="L6" s="1">
        <f t="shared" ref="L6:L69" si="1">J6*1000/K6</f>
        <v>40</v>
      </c>
    </row>
    <row r="7" spans="1:12">
      <c r="A7" s="1" t="str">
        <f>VLOOKUP(B7,[1]SkillName!$A:$B,2,FALSE)</f>
        <v>鈴木　陽一スキル１</v>
      </c>
      <c r="B7">
        <v>5</v>
      </c>
      <c r="C7" t="s">
        <v>335</v>
      </c>
      <c r="D7" s="2">
        <v>0</v>
      </c>
      <c r="E7" s="1" t="str">
        <f>VLOOKUP(D7,定義!$A$2:$D$4,4,FALSE)</f>
        <v>無_物理</v>
      </c>
      <c r="F7">
        <v>0</v>
      </c>
      <c r="G7" s="1" t="str">
        <f>VLOOKUP(F7,定義!$A$2:$C$4,2,FALSE)</f>
        <v>ダメージ</v>
      </c>
      <c r="H7">
        <v>0</v>
      </c>
      <c r="I7" s="1" t="str">
        <f>VLOOKUP(H7,定義!$A$2:$C$4,3,FALSE)</f>
        <v>敵</v>
      </c>
      <c r="J7">
        <v>100</v>
      </c>
      <c r="K7" s="2">
        <v>5000</v>
      </c>
      <c r="L7" s="1">
        <f t="shared" si="1"/>
        <v>20</v>
      </c>
    </row>
    <row r="8" spans="1:12">
      <c r="A8" s="1" t="str">
        <f>VLOOKUP(B8,[1]SkillName!$A:$B,2,FALSE)</f>
        <v>鈴木　陽一スキル２</v>
      </c>
      <c r="B8">
        <v>6</v>
      </c>
      <c r="C8" t="s">
        <v>337</v>
      </c>
      <c r="D8" s="2">
        <v>0</v>
      </c>
      <c r="E8" s="1" t="str">
        <f>VLOOKUP(D8,定義!$A$2:$D$4,4,FALSE)</f>
        <v>無_物理</v>
      </c>
      <c r="F8">
        <v>0</v>
      </c>
      <c r="G8" s="1" t="str">
        <f>VLOOKUP(F8,定義!$A$2:$C$4,2,FALSE)</f>
        <v>ダメージ</v>
      </c>
      <c r="H8">
        <v>0</v>
      </c>
      <c r="I8" s="1" t="str">
        <f>VLOOKUP(H8,定義!$A$2:$C$4,3,FALSE)</f>
        <v>敵</v>
      </c>
      <c r="J8">
        <v>600</v>
      </c>
      <c r="K8" s="2">
        <v>15000</v>
      </c>
      <c r="L8" s="1">
        <f t="shared" si="1"/>
        <v>40</v>
      </c>
    </row>
    <row r="9" spans="1:12">
      <c r="A9" s="1" t="str">
        <f>VLOOKUP(B9,[1]SkillName!$A:$B,2,FALSE)</f>
        <v>茶釜　つぶきスキル１</v>
      </c>
      <c r="B9">
        <v>7</v>
      </c>
      <c r="C9" t="s">
        <v>335</v>
      </c>
      <c r="D9" s="2">
        <v>0</v>
      </c>
      <c r="E9" s="1" t="str">
        <f>VLOOKUP(D9,定義!$A$2:$D$4,4,FALSE)</f>
        <v>無_物理</v>
      </c>
      <c r="F9">
        <v>0</v>
      </c>
      <c r="G9" s="1" t="str">
        <f>VLOOKUP(F9,定義!$A$2:$C$4,2,FALSE)</f>
        <v>ダメージ</v>
      </c>
      <c r="H9">
        <v>0</v>
      </c>
      <c r="I9" s="1" t="str">
        <f>VLOOKUP(H9,定義!$A$2:$C$4,3,FALSE)</f>
        <v>敵</v>
      </c>
      <c r="J9">
        <v>100</v>
      </c>
      <c r="K9" s="2">
        <v>5000</v>
      </c>
      <c r="L9" s="1">
        <f t="shared" si="1"/>
        <v>20</v>
      </c>
    </row>
    <row r="10" spans="1:12">
      <c r="A10" s="1" t="str">
        <f>VLOOKUP(B10,[1]SkillName!$A:$B,2,FALSE)</f>
        <v>茶釜　つぶきスキル２</v>
      </c>
      <c r="B10">
        <v>8</v>
      </c>
      <c r="C10" t="s">
        <v>337</v>
      </c>
      <c r="D10" s="2">
        <v>0</v>
      </c>
      <c r="E10" s="1" t="str">
        <f>VLOOKUP(D10,定義!$A$2:$D$4,4,FALSE)</f>
        <v>無_物理</v>
      </c>
      <c r="F10">
        <v>0</v>
      </c>
      <c r="G10" s="1" t="str">
        <f>VLOOKUP(F10,定義!$A$2:$C$4,2,FALSE)</f>
        <v>ダメージ</v>
      </c>
      <c r="H10">
        <v>0</v>
      </c>
      <c r="I10" s="1" t="str">
        <f>VLOOKUP(H10,定義!$A$2:$C$4,3,FALSE)</f>
        <v>敵</v>
      </c>
      <c r="J10">
        <v>600</v>
      </c>
      <c r="K10" s="2">
        <v>15000</v>
      </c>
      <c r="L10" s="1">
        <f t="shared" si="1"/>
        <v>40</v>
      </c>
    </row>
    <row r="11" spans="1:12">
      <c r="A11" s="1" t="str">
        <f>VLOOKUP(B11,[1]SkillName!$A:$B,2,FALSE)</f>
        <v>ジョー＆ミョーの仲良しチャンネルスキル１</v>
      </c>
      <c r="B11">
        <v>9</v>
      </c>
      <c r="C11" t="s">
        <v>335</v>
      </c>
      <c r="D11" s="2">
        <v>0</v>
      </c>
      <c r="E11" s="1" t="str">
        <f>VLOOKUP(D11,定義!$A$2:$D$4,4,FALSE)</f>
        <v>無_物理</v>
      </c>
      <c r="F11">
        <v>0</v>
      </c>
      <c r="G11" s="1" t="str">
        <f>VLOOKUP(F11,定義!$A$2:$C$4,2,FALSE)</f>
        <v>ダメージ</v>
      </c>
      <c r="H11">
        <v>0</v>
      </c>
      <c r="I11" s="1" t="str">
        <f>VLOOKUP(H11,定義!$A$2:$C$4,3,FALSE)</f>
        <v>敵</v>
      </c>
      <c r="J11">
        <v>100</v>
      </c>
      <c r="K11" s="2">
        <v>5000</v>
      </c>
      <c r="L11" s="1">
        <f t="shared" si="1"/>
        <v>20</v>
      </c>
    </row>
    <row r="12" spans="1:12">
      <c r="A12" s="1" t="str">
        <f>VLOOKUP(B12,[1]SkillName!$A:$B,2,FALSE)</f>
        <v>ジョー＆ミョーの仲良しチャンネルスキル２</v>
      </c>
      <c r="B12">
        <v>10</v>
      </c>
      <c r="C12" t="s">
        <v>337</v>
      </c>
      <c r="D12" s="2">
        <v>0</v>
      </c>
      <c r="E12" s="1" t="str">
        <f>VLOOKUP(D12,定義!$A$2:$D$4,4,FALSE)</f>
        <v>無_物理</v>
      </c>
      <c r="F12">
        <v>0</v>
      </c>
      <c r="G12" s="1" t="str">
        <f>VLOOKUP(F12,定義!$A$2:$C$4,2,FALSE)</f>
        <v>ダメージ</v>
      </c>
      <c r="H12">
        <v>0</v>
      </c>
      <c r="I12" s="1" t="str">
        <f>VLOOKUP(H12,定義!$A$2:$C$4,3,FALSE)</f>
        <v>敵</v>
      </c>
      <c r="J12">
        <v>600</v>
      </c>
      <c r="K12" s="2">
        <v>15000</v>
      </c>
      <c r="L12" s="1">
        <f t="shared" si="1"/>
        <v>40</v>
      </c>
    </row>
    <row r="13" spans="1:12">
      <c r="A13" s="1" t="str">
        <f>VLOOKUP(B13,[1]SkillName!$A:$B,2,FALSE)</f>
        <v>ティカラスキル１</v>
      </c>
      <c r="B13">
        <v>11</v>
      </c>
      <c r="C13" t="s">
        <v>335</v>
      </c>
      <c r="D13" s="2">
        <v>0</v>
      </c>
      <c r="E13" s="1" t="str">
        <f>VLOOKUP(D13,定義!$A$2:$D$4,4,FALSE)</f>
        <v>無_物理</v>
      </c>
      <c r="F13">
        <v>0</v>
      </c>
      <c r="G13" s="1" t="str">
        <f>VLOOKUP(F13,定義!$A$2:$C$4,2,FALSE)</f>
        <v>ダメージ</v>
      </c>
      <c r="H13">
        <v>0</v>
      </c>
      <c r="I13" s="1" t="str">
        <f>VLOOKUP(H13,定義!$A$2:$C$4,3,FALSE)</f>
        <v>敵</v>
      </c>
      <c r="J13">
        <v>100</v>
      </c>
      <c r="K13" s="2">
        <v>5000</v>
      </c>
      <c r="L13" s="1">
        <f t="shared" si="1"/>
        <v>20</v>
      </c>
    </row>
    <row r="14" spans="1:12">
      <c r="A14" s="1" t="str">
        <f>VLOOKUP(B14,[1]SkillName!$A:$B,2,FALSE)</f>
        <v>ティカラスキル２</v>
      </c>
      <c r="B14">
        <v>12</v>
      </c>
      <c r="C14" t="s">
        <v>337</v>
      </c>
      <c r="D14" s="2">
        <v>0</v>
      </c>
      <c r="E14" s="1" t="str">
        <f>VLOOKUP(D14,定義!$A$2:$D$4,4,FALSE)</f>
        <v>無_物理</v>
      </c>
      <c r="F14">
        <v>0</v>
      </c>
      <c r="G14" s="1" t="str">
        <f>VLOOKUP(F14,定義!$A$2:$C$4,2,FALSE)</f>
        <v>ダメージ</v>
      </c>
      <c r="H14">
        <v>0</v>
      </c>
      <c r="I14" s="1" t="str">
        <f>VLOOKUP(H14,定義!$A$2:$C$4,3,FALSE)</f>
        <v>敵</v>
      </c>
      <c r="J14">
        <v>600</v>
      </c>
      <c r="K14" s="2">
        <v>15000</v>
      </c>
      <c r="L14" s="1">
        <f t="shared" si="1"/>
        <v>40</v>
      </c>
    </row>
    <row r="15" spans="1:12">
      <c r="A15" s="1" t="str">
        <f>VLOOKUP(B15,[1]SkillName!$A:$B,2,FALSE)</f>
        <v>さけっぷりんスキル１</v>
      </c>
      <c r="B15">
        <v>13</v>
      </c>
      <c r="C15" t="s">
        <v>335</v>
      </c>
      <c r="D15" s="2">
        <v>0</v>
      </c>
      <c r="E15" s="1" t="str">
        <f>VLOOKUP(D15,定義!$A$2:$D$4,4,FALSE)</f>
        <v>無_物理</v>
      </c>
      <c r="F15">
        <v>0</v>
      </c>
      <c r="G15" s="1" t="str">
        <f>VLOOKUP(F15,定義!$A$2:$C$4,2,FALSE)</f>
        <v>ダメージ</v>
      </c>
      <c r="H15">
        <v>0</v>
      </c>
      <c r="I15" s="1" t="str">
        <f>VLOOKUP(H15,定義!$A$2:$C$4,3,FALSE)</f>
        <v>敵</v>
      </c>
      <c r="J15">
        <v>100</v>
      </c>
      <c r="K15" s="2">
        <v>5000</v>
      </c>
      <c r="L15" s="1">
        <f t="shared" si="1"/>
        <v>20</v>
      </c>
    </row>
    <row r="16" spans="1:12">
      <c r="A16" s="1" t="str">
        <f>VLOOKUP(B16,[1]SkillName!$A:$B,2,FALSE)</f>
        <v>さけっぷりんスキル２</v>
      </c>
      <c r="B16">
        <v>14</v>
      </c>
      <c r="C16" t="s">
        <v>337</v>
      </c>
      <c r="D16" s="2">
        <v>0</v>
      </c>
      <c r="E16" s="1" t="str">
        <f>VLOOKUP(D16,定義!$A$2:$D$4,4,FALSE)</f>
        <v>無_物理</v>
      </c>
      <c r="F16">
        <v>0</v>
      </c>
      <c r="G16" s="1" t="str">
        <f>VLOOKUP(F16,定義!$A$2:$C$4,2,FALSE)</f>
        <v>ダメージ</v>
      </c>
      <c r="H16">
        <v>0</v>
      </c>
      <c r="I16" s="1" t="str">
        <f>VLOOKUP(H16,定義!$A$2:$C$4,3,FALSE)</f>
        <v>敵</v>
      </c>
      <c r="J16">
        <v>600</v>
      </c>
      <c r="K16" s="2">
        <v>15000</v>
      </c>
      <c r="L16" s="1">
        <f t="shared" si="1"/>
        <v>40</v>
      </c>
    </row>
    <row r="17" spans="1:12">
      <c r="A17" s="1" t="str">
        <f>VLOOKUP(B17,[1]SkillName!$A:$B,2,FALSE)</f>
        <v>桜守スキル１</v>
      </c>
      <c r="B17">
        <v>15</v>
      </c>
      <c r="C17" t="s">
        <v>335</v>
      </c>
      <c r="D17" s="2">
        <v>0</v>
      </c>
      <c r="E17" s="1" t="str">
        <f>VLOOKUP(D17,定義!$A$2:$D$4,4,FALSE)</f>
        <v>無_物理</v>
      </c>
      <c r="F17">
        <v>0</v>
      </c>
      <c r="G17" s="1" t="str">
        <f>VLOOKUP(F17,定義!$A$2:$C$4,2,FALSE)</f>
        <v>ダメージ</v>
      </c>
      <c r="H17">
        <v>0</v>
      </c>
      <c r="I17" s="1" t="str">
        <f>VLOOKUP(H17,定義!$A$2:$C$4,3,FALSE)</f>
        <v>敵</v>
      </c>
      <c r="J17">
        <v>100</v>
      </c>
      <c r="K17" s="2">
        <v>5000</v>
      </c>
      <c r="L17" s="1">
        <f t="shared" si="1"/>
        <v>20</v>
      </c>
    </row>
    <row r="18" spans="1:12">
      <c r="A18" s="1" t="str">
        <f>VLOOKUP(B18,[1]SkillName!$A:$B,2,FALSE)</f>
        <v>桜守スキル２</v>
      </c>
      <c r="B18">
        <v>16</v>
      </c>
      <c r="C18" t="s">
        <v>337</v>
      </c>
      <c r="D18" s="2">
        <v>0</v>
      </c>
      <c r="E18" s="1" t="str">
        <f>VLOOKUP(D18,定義!$A$2:$D$4,4,FALSE)</f>
        <v>無_物理</v>
      </c>
      <c r="F18">
        <v>0</v>
      </c>
      <c r="G18" s="1" t="str">
        <f>VLOOKUP(F18,定義!$A$2:$C$4,2,FALSE)</f>
        <v>ダメージ</v>
      </c>
      <c r="H18">
        <v>0</v>
      </c>
      <c r="I18" s="1" t="str">
        <f>VLOOKUP(H18,定義!$A$2:$C$4,3,FALSE)</f>
        <v>敵</v>
      </c>
      <c r="J18">
        <v>600</v>
      </c>
      <c r="K18" s="2">
        <v>15000</v>
      </c>
      <c r="L18" s="1">
        <f t="shared" si="1"/>
        <v>40</v>
      </c>
    </row>
    <row r="19" spans="1:12">
      <c r="A19" s="1" t="str">
        <f>VLOOKUP(B19,[1]SkillName!$A:$B,2,FALSE)</f>
        <v>紅の華魚スキル１</v>
      </c>
      <c r="B19">
        <v>17</v>
      </c>
      <c r="C19" t="s">
        <v>335</v>
      </c>
      <c r="D19" s="2">
        <v>0</v>
      </c>
      <c r="E19" s="1" t="str">
        <f>VLOOKUP(D19,定義!$A$2:$D$4,4,FALSE)</f>
        <v>無_物理</v>
      </c>
      <c r="F19">
        <v>0</v>
      </c>
      <c r="G19" s="1" t="str">
        <f>VLOOKUP(F19,定義!$A$2:$C$4,2,FALSE)</f>
        <v>ダメージ</v>
      </c>
      <c r="H19">
        <v>0</v>
      </c>
      <c r="I19" s="1" t="str">
        <f>VLOOKUP(H19,定義!$A$2:$C$4,3,FALSE)</f>
        <v>敵</v>
      </c>
      <c r="J19">
        <v>100</v>
      </c>
      <c r="K19" s="2">
        <v>5000</v>
      </c>
      <c r="L19" s="1">
        <f t="shared" si="1"/>
        <v>20</v>
      </c>
    </row>
    <row r="20" spans="1:12">
      <c r="A20" s="1" t="str">
        <f>VLOOKUP(B20,[1]SkillName!$A:$B,2,FALSE)</f>
        <v>紅の華魚スキル２</v>
      </c>
      <c r="B20">
        <v>18</v>
      </c>
      <c r="C20" t="s">
        <v>337</v>
      </c>
      <c r="D20" s="2">
        <v>0</v>
      </c>
      <c r="E20" s="1" t="str">
        <f>VLOOKUP(D20,定義!$A$2:$D$4,4,FALSE)</f>
        <v>無_物理</v>
      </c>
      <c r="F20">
        <v>0</v>
      </c>
      <c r="G20" s="1" t="str">
        <f>VLOOKUP(F20,定義!$A$2:$C$4,2,FALSE)</f>
        <v>ダメージ</v>
      </c>
      <c r="H20">
        <v>0</v>
      </c>
      <c r="I20" s="1" t="str">
        <f>VLOOKUP(H20,定義!$A$2:$C$4,3,FALSE)</f>
        <v>敵</v>
      </c>
      <c r="J20">
        <v>600</v>
      </c>
      <c r="K20" s="2">
        <v>15000</v>
      </c>
      <c r="L20" s="1">
        <f t="shared" si="1"/>
        <v>40</v>
      </c>
    </row>
    <row r="21" spans="1:12">
      <c r="A21" s="1" t="str">
        <f>VLOOKUP(B21,[1]SkillName!$A:$B,2,FALSE)</f>
        <v>澄水神スキル１</v>
      </c>
      <c r="B21">
        <v>19</v>
      </c>
      <c r="C21" t="s">
        <v>335</v>
      </c>
      <c r="D21" s="2">
        <v>0</v>
      </c>
      <c r="E21" s="1" t="str">
        <f>VLOOKUP(D21,定義!$A$2:$D$4,4,FALSE)</f>
        <v>無_物理</v>
      </c>
      <c r="F21">
        <v>0</v>
      </c>
      <c r="G21" s="1" t="str">
        <f>VLOOKUP(F21,定義!$A$2:$C$4,2,FALSE)</f>
        <v>ダメージ</v>
      </c>
      <c r="H21">
        <v>0</v>
      </c>
      <c r="I21" s="1" t="str">
        <f>VLOOKUP(H21,定義!$A$2:$C$4,3,FALSE)</f>
        <v>敵</v>
      </c>
      <c r="J21">
        <v>100</v>
      </c>
      <c r="K21" s="2">
        <v>5000</v>
      </c>
      <c r="L21" s="1">
        <f t="shared" si="1"/>
        <v>20</v>
      </c>
    </row>
    <row r="22" spans="1:12">
      <c r="A22" s="1" t="str">
        <f>VLOOKUP(B22,[1]SkillName!$A:$B,2,FALSE)</f>
        <v>澄水神スキル２</v>
      </c>
      <c r="B22">
        <v>20</v>
      </c>
      <c r="C22" t="s">
        <v>337</v>
      </c>
      <c r="D22" s="2">
        <v>0</v>
      </c>
      <c r="E22" s="1" t="str">
        <f>VLOOKUP(D22,定義!$A$2:$D$4,4,FALSE)</f>
        <v>無_物理</v>
      </c>
      <c r="F22">
        <v>0</v>
      </c>
      <c r="G22" s="1" t="str">
        <f>VLOOKUP(F22,定義!$A$2:$C$4,2,FALSE)</f>
        <v>ダメージ</v>
      </c>
      <c r="H22">
        <v>0</v>
      </c>
      <c r="I22" s="1" t="str">
        <f>VLOOKUP(H22,定義!$A$2:$C$4,3,FALSE)</f>
        <v>敵</v>
      </c>
      <c r="J22">
        <v>600</v>
      </c>
      <c r="K22" s="2">
        <v>15000</v>
      </c>
      <c r="L22" s="1">
        <f t="shared" si="1"/>
        <v>40</v>
      </c>
    </row>
    <row r="23" spans="1:12">
      <c r="A23" s="1" t="str">
        <f>VLOOKUP(B23,[1]SkillName!$A:$B,2,FALSE)</f>
        <v>春日山の兵スキル１</v>
      </c>
      <c r="B23">
        <v>21</v>
      </c>
      <c r="C23" t="s">
        <v>335</v>
      </c>
      <c r="D23" s="2">
        <v>0</v>
      </c>
      <c r="E23" s="1" t="str">
        <f>VLOOKUP(D23,定義!$A$2:$D$4,4,FALSE)</f>
        <v>無_物理</v>
      </c>
      <c r="F23">
        <v>0</v>
      </c>
      <c r="G23" s="1" t="str">
        <f>VLOOKUP(F23,定義!$A$2:$C$4,2,FALSE)</f>
        <v>ダメージ</v>
      </c>
      <c r="H23">
        <v>0</v>
      </c>
      <c r="I23" s="1" t="str">
        <f>VLOOKUP(H23,定義!$A$2:$C$4,3,FALSE)</f>
        <v>敵</v>
      </c>
      <c r="J23">
        <v>100</v>
      </c>
      <c r="K23" s="2">
        <v>5000</v>
      </c>
      <c r="L23" s="1">
        <f t="shared" si="1"/>
        <v>20</v>
      </c>
    </row>
    <row r="24" spans="1:12">
      <c r="A24" s="1" t="str">
        <f>VLOOKUP(B24,[1]SkillName!$A:$B,2,FALSE)</f>
        <v>春日山の兵スキル２</v>
      </c>
      <c r="B24">
        <v>22</v>
      </c>
      <c r="C24" t="s">
        <v>337</v>
      </c>
      <c r="D24" s="2">
        <v>0</v>
      </c>
      <c r="E24" s="1" t="str">
        <f>VLOOKUP(D24,定義!$A$2:$D$4,4,FALSE)</f>
        <v>無_物理</v>
      </c>
      <c r="F24">
        <v>0</v>
      </c>
      <c r="G24" s="1" t="str">
        <f>VLOOKUP(F24,定義!$A$2:$C$4,2,FALSE)</f>
        <v>ダメージ</v>
      </c>
      <c r="H24">
        <v>0</v>
      </c>
      <c r="I24" s="1" t="str">
        <f>VLOOKUP(H24,定義!$A$2:$C$4,3,FALSE)</f>
        <v>敵</v>
      </c>
      <c r="J24">
        <v>600</v>
      </c>
      <c r="K24" s="2">
        <v>15000</v>
      </c>
      <c r="L24" s="1">
        <f t="shared" si="1"/>
        <v>40</v>
      </c>
    </row>
    <row r="25" spans="1:12">
      <c r="A25" s="1" t="str">
        <f>VLOOKUP(B25,[1]SkillName!$A:$B,2,FALSE)</f>
        <v>リリアンスキル１</v>
      </c>
      <c r="B25">
        <v>23</v>
      </c>
      <c r="C25" t="s">
        <v>335</v>
      </c>
      <c r="D25" s="2">
        <v>0</v>
      </c>
      <c r="E25" s="1" t="str">
        <f>VLOOKUP(D25,定義!$A$2:$D$4,4,FALSE)</f>
        <v>無_物理</v>
      </c>
      <c r="F25">
        <v>0</v>
      </c>
      <c r="G25" s="1" t="str">
        <f>VLOOKUP(F25,定義!$A$2:$C$4,2,FALSE)</f>
        <v>ダメージ</v>
      </c>
      <c r="H25">
        <v>0</v>
      </c>
      <c r="I25" s="1" t="str">
        <f>VLOOKUP(H25,定義!$A$2:$C$4,3,FALSE)</f>
        <v>敵</v>
      </c>
      <c r="J25">
        <v>100</v>
      </c>
      <c r="K25" s="2">
        <v>5000</v>
      </c>
      <c r="L25" s="1">
        <f t="shared" si="1"/>
        <v>20</v>
      </c>
    </row>
    <row r="26" spans="1:12">
      <c r="A26" s="1" t="str">
        <f>VLOOKUP(B26,[1]SkillName!$A:$B,2,FALSE)</f>
        <v>リリアンスキル２</v>
      </c>
      <c r="B26">
        <v>24</v>
      </c>
      <c r="C26" t="s">
        <v>337</v>
      </c>
      <c r="D26" s="2">
        <v>0</v>
      </c>
      <c r="E26" s="1" t="str">
        <f>VLOOKUP(D26,定義!$A$2:$D$4,4,FALSE)</f>
        <v>無_物理</v>
      </c>
      <c r="F26">
        <v>0</v>
      </c>
      <c r="G26" s="1" t="str">
        <f>VLOOKUP(F26,定義!$A$2:$C$4,2,FALSE)</f>
        <v>ダメージ</v>
      </c>
      <c r="H26">
        <v>0</v>
      </c>
      <c r="I26" s="1" t="str">
        <f>VLOOKUP(H26,定義!$A$2:$C$4,3,FALSE)</f>
        <v>敵</v>
      </c>
      <c r="J26">
        <v>600</v>
      </c>
      <c r="K26" s="2">
        <v>15000</v>
      </c>
      <c r="L26" s="1">
        <f t="shared" si="1"/>
        <v>40</v>
      </c>
    </row>
    <row r="27" spans="1:12">
      <c r="A27" s="1" t="str">
        <f>VLOOKUP(B27,[1]SkillName!$A:$B,2,FALSE)</f>
        <v>小嶋　波奈スキル１</v>
      </c>
      <c r="B27">
        <v>25</v>
      </c>
      <c r="C27" t="s">
        <v>335</v>
      </c>
      <c r="D27" s="2">
        <v>0</v>
      </c>
      <c r="E27" s="1" t="str">
        <f>VLOOKUP(D27,定義!$A$2:$D$4,4,FALSE)</f>
        <v>無_物理</v>
      </c>
      <c r="F27">
        <v>0</v>
      </c>
      <c r="G27" s="1" t="str">
        <f>VLOOKUP(F27,定義!$A$2:$C$4,2,FALSE)</f>
        <v>ダメージ</v>
      </c>
      <c r="H27">
        <v>0</v>
      </c>
      <c r="I27" s="1" t="str">
        <f>VLOOKUP(H27,定義!$A$2:$C$4,3,FALSE)</f>
        <v>敵</v>
      </c>
      <c r="J27">
        <v>100</v>
      </c>
      <c r="K27" s="2">
        <v>5000</v>
      </c>
      <c r="L27" s="1">
        <f t="shared" si="1"/>
        <v>20</v>
      </c>
    </row>
    <row r="28" spans="1:12">
      <c r="A28" s="1" t="str">
        <f>VLOOKUP(B28,[1]SkillName!$A:$B,2,FALSE)</f>
        <v>小嶋　波奈スキル２</v>
      </c>
      <c r="B28">
        <v>26</v>
      </c>
      <c r="C28" t="s">
        <v>337</v>
      </c>
      <c r="D28" s="2">
        <v>0</v>
      </c>
      <c r="E28" s="1" t="str">
        <f>VLOOKUP(D28,定義!$A$2:$D$4,4,FALSE)</f>
        <v>無_物理</v>
      </c>
      <c r="F28">
        <v>0</v>
      </c>
      <c r="G28" s="1" t="str">
        <f>VLOOKUP(F28,定義!$A$2:$C$4,2,FALSE)</f>
        <v>ダメージ</v>
      </c>
      <c r="H28">
        <v>0</v>
      </c>
      <c r="I28" s="1" t="str">
        <f>VLOOKUP(H28,定義!$A$2:$C$4,3,FALSE)</f>
        <v>敵</v>
      </c>
      <c r="J28">
        <v>600</v>
      </c>
      <c r="K28" s="2">
        <v>15000</v>
      </c>
      <c r="L28" s="1">
        <f t="shared" si="1"/>
        <v>40</v>
      </c>
    </row>
    <row r="29" spans="1:12">
      <c r="A29" s="1" t="str">
        <f>VLOOKUP(B29,[1]SkillName!$A:$B,2,FALSE)</f>
        <v>フィオラスキル１</v>
      </c>
      <c r="B29">
        <v>27</v>
      </c>
      <c r="C29" t="s">
        <v>335</v>
      </c>
      <c r="D29" s="2">
        <v>0</v>
      </c>
      <c r="E29" s="1" t="str">
        <f>VLOOKUP(D29,定義!$A$2:$D$4,4,FALSE)</f>
        <v>無_物理</v>
      </c>
      <c r="F29">
        <v>0</v>
      </c>
      <c r="G29" s="1" t="str">
        <f>VLOOKUP(F29,定義!$A$2:$C$4,2,FALSE)</f>
        <v>ダメージ</v>
      </c>
      <c r="H29">
        <v>0</v>
      </c>
      <c r="I29" s="1" t="str">
        <f>VLOOKUP(H29,定義!$A$2:$C$4,3,FALSE)</f>
        <v>敵</v>
      </c>
      <c r="J29">
        <v>100</v>
      </c>
      <c r="K29" s="2">
        <v>5000</v>
      </c>
      <c r="L29" s="1">
        <f t="shared" si="1"/>
        <v>20</v>
      </c>
    </row>
    <row r="30" spans="1:12">
      <c r="A30" s="1" t="str">
        <f>VLOOKUP(B30,[1]SkillName!$A:$B,2,FALSE)</f>
        <v>フィオラスキル２</v>
      </c>
      <c r="B30">
        <v>28</v>
      </c>
      <c r="C30" t="s">
        <v>337</v>
      </c>
      <c r="D30" s="2">
        <v>0</v>
      </c>
      <c r="E30" s="1" t="str">
        <f>VLOOKUP(D30,定義!$A$2:$D$4,4,FALSE)</f>
        <v>無_物理</v>
      </c>
      <c r="F30">
        <v>0</v>
      </c>
      <c r="G30" s="1" t="str">
        <f>VLOOKUP(F30,定義!$A$2:$C$4,2,FALSE)</f>
        <v>ダメージ</v>
      </c>
      <c r="H30">
        <v>0</v>
      </c>
      <c r="I30" s="1" t="str">
        <f>VLOOKUP(H30,定義!$A$2:$C$4,3,FALSE)</f>
        <v>敵</v>
      </c>
      <c r="J30">
        <v>600</v>
      </c>
      <c r="K30" s="2">
        <v>15000</v>
      </c>
      <c r="L30" s="1">
        <f t="shared" si="1"/>
        <v>40</v>
      </c>
    </row>
    <row r="31" spans="1:12">
      <c r="A31" s="1" t="str">
        <f>VLOOKUP(B31,[1]SkillName!$A:$B,2,FALSE)</f>
        <v>ハクロスキル１</v>
      </c>
      <c r="B31">
        <v>29</v>
      </c>
      <c r="C31" t="s">
        <v>336</v>
      </c>
      <c r="D31" s="2">
        <v>0</v>
      </c>
      <c r="E31" s="1" t="str">
        <f>VLOOKUP(D31,定義!$A$2:$D$4,4,FALSE)</f>
        <v>無_物理</v>
      </c>
      <c r="F31">
        <v>0</v>
      </c>
      <c r="G31" s="1" t="str">
        <f>VLOOKUP(F31,定義!$A$2:$C$4,2,FALSE)</f>
        <v>ダメージ</v>
      </c>
      <c r="H31">
        <v>0</v>
      </c>
      <c r="I31" s="1" t="str">
        <f>VLOOKUP(H31,定義!$A$2:$C$4,3,FALSE)</f>
        <v>敵</v>
      </c>
      <c r="J31">
        <v>100</v>
      </c>
      <c r="K31" s="2">
        <v>5000</v>
      </c>
      <c r="L31" s="1">
        <f t="shared" si="1"/>
        <v>20</v>
      </c>
    </row>
    <row r="32" spans="1:12">
      <c r="A32" s="1" t="str">
        <f>VLOOKUP(B32,[1]SkillName!$A:$B,2,FALSE)</f>
        <v>ハクロスキル２</v>
      </c>
      <c r="B32">
        <v>30</v>
      </c>
      <c r="C32" t="s">
        <v>338</v>
      </c>
      <c r="D32" s="2">
        <v>0</v>
      </c>
      <c r="E32" s="1" t="str">
        <f>VLOOKUP(D32,定義!$A$2:$D$4,4,FALSE)</f>
        <v>無_物理</v>
      </c>
      <c r="F32">
        <v>0</v>
      </c>
      <c r="G32" s="1" t="str">
        <f>VLOOKUP(F32,定義!$A$2:$C$4,2,FALSE)</f>
        <v>ダメージ</v>
      </c>
      <c r="H32">
        <v>0</v>
      </c>
      <c r="I32" s="1" t="str">
        <f>VLOOKUP(H32,定義!$A$2:$C$4,3,FALSE)</f>
        <v>敵</v>
      </c>
      <c r="J32">
        <v>600</v>
      </c>
      <c r="K32" s="2">
        <v>15000</v>
      </c>
      <c r="L32" s="1">
        <f t="shared" si="1"/>
        <v>40</v>
      </c>
    </row>
    <row r="33" spans="1:12">
      <c r="A33" s="1" t="str">
        <f>VLOOKUP(B33,[1]SkillName!$A:$B,2,FALSE)</f>
        <v>ブックハンドスキル１</v>
      </c>
      <c r="B33">
        <v>31</v>
      </c>
      <c r="C33" t="s">
        <v>336</v>
      </c>
      <c r="D33" s="2">
        <v>0</v>
      </c>
      <c r="E33" s="1" t="str">
        <f>VLOOKUP(D33,定義!$A$2:$D$4,4,FALSE)</f>
        <v>無_物理</v>
      </c>
      <c r="F33">
        <v>0</v>
      </c>
      <c r="G33" s="1" t="str">
        <f>VLOOKUP(F33,定義!$A$2:$C$4,2,FALSE)</f>
        <v>ダメージ</v>
      </c>
      <c r="H33">
        <v>0</v>
      </c>
      <c r="I33" s="1" t="str">
        <f>VLOOKUP(H33,定義!$A$2:$C$4,3,FALSE)</f>
        <v>敵</v>
      </c>
      <c r="J33">
        <v>100</v>
      </c>
      <c r="K33" s="2">
        <v>5000</v>
      </c>
      <c r="L33" s="1">
        <f t="shared" si="1"/>
        <v>20</v>
      </c>
    </row>
    <row r="34" spans="1:12">
      <c r="A34" s="1" t="str">
        <f>VLOOKUP(B34,[1]SkillName!$A:$B,2,FALSE)</f>
        <v>ブックハンドスキル２</v>
      </c>
      <c r="B34">
        <v>32</v>
      </c>
      <c r="C34" t="s">
        <v>338</v>
      </c>
      <c r="D34" s="2">
        <v>0</v>
      </c>
      <c r="E34" s="1" t="str">
        <f>VLOOKUP(D34,定義!$A$2:$D$4,4,FALSE)</f>
        <v>無_物理</v>
      </c>
      <c r="F34">
        <v>0</v>
      </c>
      <c r="G34" s="1" t="str">
        <f>VLOOKUP(F34,定義!$A$2:$C$4,2,FALSE)</f>
        <v>ダメージ</v>
      </c>
      <c r="H34">
        <v>0</v>
      </c>
      <c r="I34" s="1" t="str">
        <f>VLOOKUP(H34,定義!$A$2:$C$4,3,FALSE)</f>
        <v>敵</v>
      </c>
      <c r="J34">
        <v>600</v>
      </c>
      <c r="K34" s="2">
        <v>15000</v>
      </c>
      <c r="L34" s="1">
        <f t="shared" si="1"/>
        <v>40</v>
      </c>
    </row>
    <row r="35" spans="1:12">
      <c r="A35" s="1" t="str">
        <f>VLOOKUP(B35,[1]SkillName!$A:$B,2,FALSE)</f>
        <v>オステオンスキル１</v>
      </c>
      <c r="B35">
        <v>33</v>
      </c>
      <c r="C35" t="s">
        <v>336</v>
      </c>
      <c r="D35" s="2">
        <v>0</v>
      </c>
      <c r="E35" s="1" t="str">
        <f>VLOOKUP(D35,定義!$A$2:$D$4,4,FALSE)</f>
        <v>無_物理</v>
      </c>
      <c r="F35">
        <v>0</v>
      </c>
      <c r="G35" s="1" t="str">
        <f>VLOOKUP(F35,定義!$A$2:$C$4,2,FALSE)</f>
        <v>ダメージ</v>
      </c>
      <c r="H35">
        <v>0</v>
      </c>
      <c r="I35" s="1" t="str">
        <f>VLOOKUP(H35,定義!$A$2:$C$4,3,FALSE)</f>
        <v>敵</v>
      </c>
      <c r="J35">
        <v>100</v>
      </c>
      <c r="K35" s="2">
        <v>5000</v>
      </c>
      <c r="L35" s="1">
        <f t="shared" si="1"/>
        <v>20</v>
      </c>
    </row>
    <row r="36" spans="1:12">
      <c r="A36" s="1" t="str">
        <f>VLOOKUP(B36,[1]SkillName!$A:$B,2,FALSE)</f>
        <v>オステオンスキル２</v>
      </c>
      <c r="B36">
        <v>34</v>
      </c>
      <c r="C36" t="s">
        <v>338</v>
      </c>
      <c r="D36" s="2">
        <v>0</v>
      </c>
      <c r="E36" s="1" t="str">
        <f>VLOOKUP(D36,定義!$A$2:$D$4,4,FALSE)</f>
        <v>無_物理</v>
      </c>
      <c r="F36">
        <v>0</v>
      </c>
      <c r="G36" s="1" t="str">
        <f>VLOOKUP(F36,定義!$A$2:$C$4,2,FALSE)</f>
        <v>ダメージ</v>
      </c>
      <c r="H36">
        <v>0</v>
      </c>
      <c r="I36" s="1" t="str">
        <f>VLOOKUP(H36,定義!$A$2:$C$4,3,FALSE)</f>
        <v>敵</v>
      </c>
      <c r="J36">
        <v>600</v>
      </c>
      <c r="K36" s="2">
        <v>15000</v>
      </c>
      <c r="L36" s="1">
        <f t="shared" si="1"/>
        <v>40</v>
      </c>
    </row>
    <row r="37" spans="1:12">
      <c r="A37" s="1" t="str">
        <f>VLOOKUP(B37,[1]SkillName!$A:$B,2,FALSE)</f>
        <v>ターボ・タロスキル１</v>
      </c>
      <c r="B37">
        <v>35</v>
      </c>
      <c r="C37" t="s">
        <v>336</v>
      </c>
      <c r="D37" s="2">
        <v>0</v>
      </c>
      <c r="E37" s="1" t="str">
        <f>VLOOKUP(D37,定義!$A$2:$D$4,4,FALSE)</f>
        <v>無_物理</v>
      </c>
      <c r="F37">
        <v>0</v>
      </c>
      <c r="G37" s="1" t="str">
        <f>VLOOKUP(F37,定義!$A$2:$C$4,2,FALSE)</f>
        <v>ダメージ</v>
      </c>
      <c r="H37">
        <v>0</v>
      </c>
      <c r="I37" s="1" t="str">
        <f>VLOOKUP(H37,定義!$A$2:$C$4,3,FALSE)</f>
        <v>敵</v>
      </c>
      <c r="J37">
        <v>100</v>
      </c>
      <c r="K37" s="2">
        <v>5000</v>
      </c>
      <c r="L37" s="1">
        <f t="shared" si="1"/>
        <v>20</v>
      </c>
    </row>
    <row r="38" spans="1:12">
      <c r="A38" s="1" t="str">
        <f>VLOOKUP(B38,[1]SkillName!$A:$B,2,FALSE)</f>
        <v>ターボ・タロスキル２</v>
      </c>
      <c r="B38">
        <v>36</v>
      </c>
      <c r="C38" t="s">
        <v>338</v>
      </c>
      <c r="D38" s="2">
        <v>0</v>
      </c>
      <c r="E38" s="1" t="str">
        <f>VLOOKUP(D38,定義!$A$2:$D$4,4,FALSE)</f>
        <v>無_物理</v>
      </c>
      <c r="F38">
        <v>0</v>
      </c>
      <c r="G38" s="1" t="str">
        <f>VLOOKUP(F38,定義!$A$2:$C$4,2,FALSE)</f>
        <v>ダメージ</v>
      </c>
      <c r="H38">
        <v>0</v>
      </c>
      <c r="I38" s="1" t="str">
        <f>VLOOKUP(H38,定義!$A$2:$C$4,3,FALSE)</f>
        <v>敵</v>
      </c>
      <c r="J38">
        <v>600</v>
      </c>
      <c r="K38" s="2">
        <v>15000</v>
      </c>
      <c r="L38" s="1">
        <f t="shared" si="1"/>
        <v>40</v>
      </c>
    </row>
    <row r="39" spans="1:12">
      <c r="A39" s="1">
        <f>VLOOKUP(B39,[1]SkillName!$A:$B,2,FALSE)</f>
        <v>0</v>
      </c>
      <c r="B39">
        <v>37</v>
      </c>
      <c r="C39" t="s">
        <v>40</v>
      </c>
      <c r="D39" s="2">
        <v>0</v>
      </c>
      <c r="E39" s="1" t="str">
        <f>VLOOKUP(D39,定義!$A$2:$D$4,4,FALSE)</f>
        <v>無_物理</v>
      </c>
      <c r="F39">
        <v>0</v>
      </c>
      <c r="G39" s="1" t="str">
        <f>VLOOKUP(F39,定義!$A$2:$C$4,2,FALSE)</f>
        <v>ダメージ</v>
      </c>
      <c r="H39">
        <v>0</v>
      </c>
      <c r="I39" s="1" t="str">
        <f>VLOOKUP(H39,定義!$A$2:$C$4,3,FALSE)</f>
        <v>敵</v>
      </c>
      <c r="J39">
        <v>100</v>
      </c>
      <c r="K39" s="2">
        <v>1000</v>
      </c>
      <c r="L39" s="1">
        <f t="shared" si="1"/>
        <v>100</v>
      </c>
    </row>
    <row r="40" spans="1:12">
      <c r="A40" s="1">
        <f>VLOOKUP(B40,[1]SkillName!$A:$B,2,FALSE)</f>
        <v>0</v>
      </c>
      <c r="B40">
        <v>38</v>
      </c>
      <c r="C40" t="s">
        <v>41</v>
      </c>
      <c r="D40" s="2">
        <v>0</v>
      </c>
      <c r="E40" s="1" t="str">
        <f>VLOOKUP(D40,定義!$A$2:$D$4,4,FALSE)</f>
        <v>無_物理</v>
      </c>
      <c r="F40">
        <v>0</v>
      </c>
      <c r="G40" s="1" t="str">
        <f>VLOOKUP(F40,定義!$A$2:$C$4,2,FALSE)</f>
        <v>ダメージ</v>
      </c>
      <c r="H40">
        <v>0</v>
      </c>
      <c r="I40" s="1" t="str">
        <f>VLOOKUP(H40,定義!$A$2:$C$4,3,FALSE)</f>
        <v>敵</v>
      </c>
      <c r="J40">
        <v>100</v>
      </c>
      <c r="K40" s="2">
        <v>1000</v>
      </c>
      <c r="L40" s="1">
        <f t="shared" si="1"/>
        <v>100</v>
      </c>
    </row>
    <row r="41" spans="1:12">
      <c r="A41" s="1">
        <f>VLOOKUP(B41,[1]SkillName!$A:$B,2,FALSE)</f>
        <v>0</v>
      </c>
      <c r="B41">
        <v>39</v>
      </c>
      <c r="C41" t="s">
        <v>42</v>
      </c>
      <c r="D41" s="2">
        <v>0</v>
      </c>
      <c r="E41" s="1" t="str">
        <f>VLOOKUP(D41,定義!$A$2:$D$4,4,FALSE)</f>
        <v>無_物理</v>
      </c>
      <c r="F41">
        <v>0</v>
      </c>
      <c r="G41" s="1" t="str">
        <f>VLOOKUP(F41,定義!$A$2:$C$4,2,FALSE)</f>
        <v>ダメージ</v>
      </c>
      <c r="H41">
        <v>0</v>
      </c>
      <c r="I41" s="1" t="str">
        <f>VLOOKUP(H41,定義!$A$2:$C$4,3,FALSE)</f>
        <v>敵</v>
      </c>
      <c r="J41">
        <v>100</v>
      </c>
      <c r="K41" s="2">
        <v>1000</v>
      </c>
      <c r="L41" s="1">
        <f t="shared" si="1"/>
        <v>100</v>
      </c>
    </row>
    <row r="42" spans="1:12">
      <c r="A42" s="1">
        <f>VLOOKUP(B42,[1]SkillName!$A:$B,2,FALSE)</f>
        <v>0</v>
      </c>
      <c r="B42">
        <v>40</v>
      </c>
      <c r="C42" t="s">
        <v>43</v>
      </c>
      <c r="D42" s="2">
        <v>0</v>
      </c>
      <c r="E42" s="1" t="str">
        <f>VLOOKUP(D42,定義!$A$2:$D$4,4,FALSE)</f>
        <v>無_物理</v>
      </c>
      <c r="F42">
        <v>0</v>
      </c>
      <c r="G42" s="1" t="str">
        <f>VLOOKUP(F42,定義!$A$2:$C$4,2,FALSE)</f>
        <v>ダメージ</v>
      </c>
      <c r="H42">
        <v>0</v>
      </c>
      <c r="I42" s="1" t="str">
        <f>VLOOKUP(H42,定義!$A$2:$C$4,3,FALSE)</f>
        <v>敵</v>
      </c>
      <c r="J42">
        <v>100</v>
      </c>
      <c r="K42" s="2">
        <v>1000</v>
      </c>
      <c r="L42" s="1">
        <f t="shared" si="1"/>
        <v>100</v>
      </c>
    </row>
    <row r="43" spans="1:12">
      <c r="A43" s="1">
        <f>VLOOKUP(B43,[1]SkillName!$A:$B,2,FALSE)</f>
        <v>0</v>
      </c>
      <c r="B43">
        <v>41</v>
      </c>
      <c r="C43" t="s">
        <v>44</v>
      </c>
      <c r="D43" s="2">
        <v>0</v>
      </c>
      <c r="E43" s="1" t="str">
        <f>VLOOKUP(D43,定義!$A$2:$D$4,4,FALSE)</f>
        <v>無_物理</v>
      </c>
      <c r="F43">
        <v>0</v>
      </c>
      <c r="G43" s="1" t="str">
        <f>VLOOKUP(F43,定義!$A$2:$C$4,2,FALSE)</f>
        <v>ダメージ</v>
      </c>
      <c r="H43">
        <v>0</v>
      </c>
      <c r="I43" s="1" t="str">
        <f>VLOOKUP(H43,定義!$A$2:$C$4,3,FALSE)</f>
        <v>敵</v>
      </c>
      <c r="J43">
        <v>100</v>
      </c>
      <c r="K43" s="2">
        <v>1000</v>
      </c>
      <c r="L43" s="1">
        <f t="shared" si="1"/>
        <v>100</v>
      </c>
    </row>
    <row r="44" spans="1:12">
      <c r="A44" s="1">
        <f>VLOOKUP(B44,[1]SkillName!$A:$B,2,FALSE)</f>
        <v>0</v>
      </c>
      <c r="B44">
        <v>42</v>
      </c>
      <c r="C44" t="s">
        <v>45</v>
      </c>
      <c r="D44" s="2">
        <v>0</v>
      </c>
      <c r="E44" s="1" t="str">
        <f>VLOOKUP(D44,定義!$A$2:$D$4,4,FALSE)</f>
        <v>無_物理</v>
      </c>
      <c r="F44">
        <v>0</v>
      </c>
      <c r="G44" s="1" t="str">
        <f>VLOOKUP(F44,定義!$A$2:$C$4,2,FALSE)</f>
        <v>ダメージ</v>
      </c>
      <c r="H44">
        <v>0</v>
      </c>
      <c r="I44" s="1" t="str">
        <f>VLOOKUP(H44,定義!$A$2:$C$4,3,FALSE)</f>
        <v>敵</v>
      </c>
      <c r="J44">
        <v>100</v>
      </c>
      <c r="K44" s="2">
        <v>1000</v>
      </c>
      <c r="L44" s="1">
        <f t="shared" si="1"/>
        <v>100</v>
      </c>
    </row>
    <row r="45" spans="1:12">
      <c r="A45" s="1">
        <f>VLOOKUP(B45,[1]SkillName!$A:$B,2,FALSE)</f>
        <v>0</v>
      </c>
      <c r="B45">
        <v>43</v>
      </c>
      <c r="C45" t="s">
        <v>46</v>
      </c>
      <c r="D45" s="2">
        <v>0</v>
      </c>
      <c r="E45" s="1" t="str">
        <f>VLOOKUP(D45,定義!$A$2:$D$4,4,FALSE)</f>
        <v>無_物理</v>
      </c>
      <c r="F45">
        <v>0</v>
      </c>
      <c r="G45" s="1" t="str">
        <f>VLOOKUP(F45,定義!$A$2:$C$4,2,FALSE)</f>
        <v>ダメージ</v>
      </c>
      <c r="H45">
        <v>0</v>
      </c>
      <c r="I45" s="1" t="str">
        <f>VLOOKUP(H45,定義!$A$2:$C$4,3,FALSE)</f>
        <v>敵</v>
      </c>
      <c r="J45">
        <v>100</v>
      </c>
      <c r="K45" s="2">
        <v>1000</v>
      </c>
      <c r="L45" s="1">
        <f t="shared" si="1"/>
        <v>100</v>
      </c>
    </row>
    <row r="46" spans="1:12">
      <c r="A46" s="1">
        <f>VLOOKUP(B46,[1]SkillName!$A:$B,2,FALSE)</f>
        <v>0</v>
      </c>
      <c r="B46">
        <v>44</v>
      </c>
      <c r="C46" t="s">
        <v>47</v>
      </c>
      <c r="D46" s="2">
        <v>0</v>
      </c>
      <c r="E46" s="1" t="str">
        <f>VLOOKUP(D46,定義!$A$2:$D$4,4,FALSE)</f>
        <v>無_物理</v>
      </c>
      <c r="F46">
        <v>0</v>
      </c>
      <c r="G46" s="1" t="str">
        <f>VLOOKUP(F46,定義!$A$2:$C$4,2,FALSE)</f>
        <v>ダメージ</v>
      </c>
      <c r="H46">
        <v>0</v>
      </c>
      <c r="I46" s="1" t="str">
        <f>VLOOKUP(H46,定義!$A$2:$C$4,3,FALSE)</f>
        <v>敵</v>
      </c>
      <c r="J46">
        <v>100</v>
      </c>
      <c r="K46" s="2">
        <v>1000</v>
      </c>
      <c r="L46" s="1">
        <f t="shared" si="1"/>
        <v>100</v>
      </c>
    </row>
    <row r="47" spans="1:12">
      <c r="A47" s="1">
        <f>VLOOKUP(B47,[1]SkillName!$A:$B,2,FALSE)</f>
        <v>0</v>
      </c>
      <c r="B47">
        <v>45</v>
      </c>
      <c r="C47" t="s">
        <v>48</v>
      </c>
      <c r="D47" s="2">
        <v>0</v>
      </c>
      <c r="E47" s="1" t="str">
        <f>VLOOKUP(D47,定義!$A$2:$D$4,4,FALSE)</f>
        <v>無_物理</v>
      </c>
      <c r="F47">
        <v>0</v>
      </c>
      <c r="G47" s="1" t="str">
        <f>VLOOKUP(F47,定義!$A$2:$C$4,2,FALSE)</f>
        <v>ダメージ</v>
      </c>
      <c r="H47">
        <v>0</v>
      </c>
      <c r="I47" s="1" t="str">
        <f>VLOOKUP(H47,定義!$A$2:$C$4,3,FALSE)</f>
        <v>敵</v>
      </c>
      <c r="J47">
        <v>100</v>
      </c>
      <c r="K47" s="2">
        <v>1000</v>
      </c>
      <c r="L47" s="1">
        <f t="shared" si="1"/>
        <v>100</v>
      </c>
    </row>
    <row r="48" spans="1:12">
      <c r="A48" s="1">
        <f>VLOOKUP(B48,[1]SkillName!$A:$B,2,FALSE)</f>
        <v>0</v>
      </c>
      <c r="B48">
        <v>46</v>
      </c>
      <c r="C48" t="s">
        <v>49</v>
      </c>
      <c r="D48" s="2">
        <v>0</v>
      </c>
      <c r="E48" s="1" t="str">
        <f>VLOOKUP(D48,定義!$A$2:$D$4,4,FALSE)</f>
        <v>無_物理</v>
      </c>
      <c r="F48">
        <v>0</v>
      </c>
      <c r="G48" s="1" t="str">
        <f>VLOOKUP(F48,定義!$A$2:$C$4,2,FALSE)</f>
        <v>ダメージ</v>
      </c>
      <c r="H48">
        <v>0</v>
      </c>
      <c r="I48" s="1" t="str">
        <f>VLOOKUP(H48,定義!$A$2:$C$4,3,FALSE)</f>
        <v>敵</v>
      </c>
      <c r="J48">
        <v>100</v>
      </c>
      <c r="K48" s="2">
        <v>1000</v>
      </c>
      <c r="L48" s="1">
        <f t="shared" si="1"/>
        <v>100</v>
      </c>
    </row>
    <row r="49" spans="1:12">
      <c r="A49" s="1">
        <f>VLOOKUP(B49,[1]SkillName!$A:$B,2,FALSE)</f>
        <v>0</v>
      </c>
      <c r="B49">
        <v>47</v>
      </c>
      <c r="C49" t="s">
        <v>50</v>
      </c>
      <c r="D49" s="2">
        <v>0</v>
      </c>
      <c r="E49" s="1" t="str">
        <f>VLOOKUP(D49,定義!$A$2:$D$4,4,FALSE)</f>
        <v>無_物理</v>
      </c>
      <c r="F49">
        <v>0</v>
      </c>
      <c r="G49" s="1" t="str">
        <f>VLOOKUP(F49,定義!$A$2:$C$4,2,FALSE)</f>
        <v>ダメージ</v>
      </c>
      <c r="H49">
        <v>0</v>
      </c>
      <c r="I49" s="1" t="str">
        <f>VLOOKUP(H49,定義!$A$2:$C$4,3,FALSE)</f>
        <v>敵</v>
      </c>
      <c r="J49">
        <v>100</v>
      </c>
      <c r="K49" s="2">
        <v>1000</v>
      </c>
      <c r="L49" s="1">
        <f t="shared" si="1"/>
        <v>100</v>
      </c>
    </row>
    <row r="50" spans="1:12">
      <c r="A50" s="1">
        <f>VLOOKUP(B50,[1]SkillName!$A:$B,2,FALSE)</f>
        <v>0</v>
      </c>
      <c r="B50">
        <v>48</v>
      </c>
      <c r="C50" t="s">
        <v>51</v>
      </c>
      <c r="D50" s="2">
        <v>0</v>
      </c>
      <c r="E50" s="1" t="str">
        <f>VLOOKUP(D50,定義!$A$2:$D$4,4,FALSE)</f>
        <v>無_物理</v>
      </c>
      <c r="F50">
        <v>0</v>
      </c>
      <c r="G50" s="1" t="str">
        <f>VLOOKUP(F50,定義!$A$2:$C$4,2,FALSE)</f>
        <v>ダメージ</v>
      </c>
      <c r="H50">
        <v>0</v>
      </c>
      <c r="I50" s="1" t="str">
        <f>VLOOKUP(H50,定義!$A$2:$C$4,3,FALSE)</f>
        <v>敵</v>
      </c>
      <c r="J50">
        <v>100</v>
      </c>
      <c r="K50" s="2">
        <v>1000</v>
      </c>
      <c r="L50" s="1">
        <f t="shared" si="1"/>
        <v>100</v>
      </c>
    </row>
    <row r="51" spans="1:12">
      <c r="A51" s="1">
        <f>VLOOKUP(B51,[1]SkillName!$A:$B,2,FALSE)</f>
        <v>0</v>
      </c>
      <c r="B51">
        <v>49</v>
      </c>
      <c r="C51" t="s">
        <v>52</v>
      </c>
      <c r="D51" s="2">
        <v>0</v>
      </c>
      <c r="E51" s="1" t="str">
        <f>VLOOKUP(D51,定義!$A$2:$D$4,4,FALSE)</f>
        <v>無_物理</v>
      </c>
      <c r="F51">
        <v>0</v>
      </c>
      <c r="G51" s="1" t="str">
        <f>VLOOKUP(F51,定義!$A$2:$C$4,2,FALSE)</f>
        <v>ダメージ</v>
      </c>
      <c r="H51">
        <v>0</v>
      </c>
      <c r="I51" s="1" t="str">
        <f>VLOOKUP(H51,定義!$A$2:$C$4,3,FALSE)</f>
        <v>敵</v>
      </c>
      <c r="J51">
        <v>100</v>
      </c>
      <c r="K51" s="2">
        <v>1000</v>
      </c>
      <c r="L51" s="1">
        <f t="shared" si="1"/>
        <v>100</v>
      </c>
    </row>
    <row r="52" spans="1:12">
      <c r="A52" s="1">
        <f>VLOOKUP(B52,[1]SkillName!$A:$B,2,FALSE)</f>
        <v>0</v>
      </c>
      <c r="B52">
        <v>50</v>
      </c>
      <c r="C52" t="s">
        <v>53</v>
      </c>
      <c r="D52" s="2">
        <v>0</v>
      </c>
      <c r="E52" s="1" t="str">
        <f>VLOOKUP(D52,定義!$A$2:$D$4,4,FALSE)</f>
        <v>無_物理</v>
      </c>
      <c r="F52">
        <v>0</v>
      </c>
      <c r="G52" s="1" t="str">
        <f>VLOOKUP(F52,定義!$A$2:$C$4,2,FALSE)</f>
        <v>ダメージ</v>
      </c>
      <c r="H52">
        <v>0</v>
      </c>
      <c r="I52" s="1" t="str">
        <f>VLOOKUP(H52,定義!$A$2:$C$4,3,FALSE)</f>
        <v>敵</v>
      </c>
      <c r="J52">
        <v>100</v>
      </c>
      <c r="K52" s="2">
        <v>1000</v>
      </c>
      <c r="L52" s="1">
        <f t="shared" si="1"/>
        <v>100</v>
      </c>
    </row>
    <row r="53" spans="1:12">
      <c r="A53" s="1">
        <f>VLOOKUP(B53,[1]SkillName!$A:$B,2,FALSE)</f>
        <v>0</v>
      </c>
      <c r="B53">
        <v>51</v>
      </c>
      <c r="C53" t="s">
        <v>54</v>
      </c>
      <c r="D53" s="2">
        <v>0</v>
      </c>
      <c r="E53" s="1" t="str">
        <f>VLOOKUP(D53,定義!$A$2:$D$4,4,FALSE)</f>
        <v>無_物理</v>
      </c>
      <c r="F53">
        <v>0</v>
      </c>
      <c r="G53" s="1" t="str">
        <f>VLOOKUP(F53,定義!$A$2:$C$4,2,FALSE)</f>
        <v>ダメージ</v>
      </c>
      <c r="H53">
        <v>0</v>
      </c>
      <c r="I53" s="1" t="str">
        <f>VLOOKUP(H53,定義!$A$2:$C$4,3,FALSE)</f>
        <v>敵</v>
      </c>
      <c r="J53">
        <v>100</v>
      </c>
      <c r="K53" s="2">
        <v>1000</v>
      </c>
      <c r="L53" s="1">
        <f t="shared" si="1"/>
        <v>100</v>
      </c>
    </row>
    <row r="54" spans="1:12">
      <c r="A54" s="1">
        <f>VLOOKUP(B54,[1]SkillName!$A:$B,2,FALSE)</f>
        <v>0</v>
      </c>
      <c r="B54">
        <v>52</v>
      </c>
      <c r="C54" t="s">
        <v>55</v>
      </c>
      <c r="D54" s="2">
        <v>0</v>
      </c>
      <c r="E54" s="1" t="str">
        <f>VLOOKUP(D54,定義!$A$2:$D$4,4,FALSE)</f>
        <v>無_物理</v>
      </c>
      <c r="F54">
        <v>0</v>
      </c>
      <c r="G54" s="1" t="str">
        <f>VLOOKUP(F54,定義!$A$2:$C$4,2,FALSE)</f>
        <v>ダメージ</v>
      </c>
      <c r="H54">
        <v>0</v>
      </c>
      <c r="I54" s="1" t="str">
        <f>VLOOKUP(H54,定義!$A$2:$C$4,3,FALSE)</f>
        <v>敵</v>
      </c>
      <c r="J54">
        <v>100</v>
      </c>
      <c r="K54" s="2">
        <v>1000</v>
      </c>
      <c r="L54" s="1">
        <f t="shared" si="1"/>
        <v>100</v>
      </c>
    </row>
    <row r="55" spans="1:12">
      <c r="A55" s="1">
        <f>VLOOKUP(B55,[1]SkillName!$A:$B,2,FALSE)</f>
        <v>0</v>
      </c>
      <c r="B55">
        <v>53</v>
      </c>
      <c r="C55" t="s">
        <v>56</v>
      </c>
      <c r="D55" s="2">
        <v>0</v>
      </c>
      <c r="E55" s="1" t="str">
        <f>VLOOKUP(D55,定義!$A$2:$D$4,4,FALSE)</f>
        <v>無_物理</v>
      </c>
      <c r="F55">
        <v>0</v>
      </c>
      <c r="G55" s="1" t="str">
        <f>VLOOKUP(F55,定義!$A$2:$C$4,2,FALSE)</f>
        <v>ダメージ</v>
      </c>
      <c r="H55">
        <v>0</v>
      </c>
      <c r="I55" s="1" t="str">
        <f>VLOOKUP(H55,定義!$A$2:$C$4,3,FALSE)</f>
        <v>敵</v>
      </c>
      <c r="J55">
        <v>100</v>
      </c>
      <c r="K55" s="2">
        <v>1000</v>
      </c>
      <c r="L55" s="1">
        <f t="shared" si="1"/>
        <v>100</v>
      </c>
    </row>
    <row r="56" spans="1:12">
      <c r="A56" s="1">
        <f>VLOOKUP(B56,[1]SkillName!$A:$B,2,FALSE)</f>
        <v>0</v>
      </c>
      <c r="B56">
        <v>54</v>
      </c>
      <c r="C56" t="s">
        <v>57</v>
      </c>
      <c r="D56" s="2">
        <v>0</v>
      </c>
      <c r="E56" s="1" t="str">
        <f>VLOOKUP(D56,定義!$A$2:$D$4,4,FALSE)</f>
        <v>無_物理</v>
      </c>
      <c r="F56">
        <v>0</v>
      </c>
      <c r="G56" s="1" t="str">
        <f>VLOOKUP(F56,定義!$A$2:$C$4,2,FALSE)</f>
        <v>ダメージ</v>
      </c>
      <c r="H56">
        <v>0</v>
      </c>
      <c r="I56" s="1" t="str">
        <f>VLOOKUP(H56,定義!$A$2:$C$4,3,FALSE)</f>
        <v>敵</v>
      </c>
      <c r="J56">
        <v>100</v>
      </c>
      <c r="K56" s="2">
        <v>1000</v>
      </c>
      <c r="L56" s="1">
        <f t="shared" si="1"/>
        <v>100</v>
      </c>
    </row>
    <row r="57" spans="1:12">
      <c r="A57" s="1">
        <f>VLOOKUP(B57,[1]SkillName!$A:$B,2,FALSE)</f>
        <v>0</v>
      </c>
      <c r="B57">
        <v>55</v>
      </c>
      <c r="C57" t="s">
        <v>58</v>
      </c>
      <c r="D57" s="2">
        <v>0</v>
      </c>
      <c r="E57" s="1" t="str">
        <f>VLOOKUP(D57,定義!$A$2:$D$4,4,FALSE)</f>
        <v>無_物理</v>
      </c>
      <c r="F57">
        <v>0</v>
      </c>
      <c r="G57" s="1" t="str">
        <f>VLOOKUP(F57,定義!$A$2:$C$4,2,FALSE)</f>
        <v>ダメージ</v>
      </c>
      <c r="H57">
        <v>0</v>
      </c>
      <c r="I57" s="1" t="str">
        <f>VLOOKUP(H57,定義!$A$2:$C$4,3,FALSE)</f>
        <v>敵</v>
      </c>
      <c r="J57">
        <v>100</v>
      </c>
      <c r="K57" s="2">
        <v>1000</v>
      </c>
      <c r="L57" s="1">
        <f t="shared" si="1"/>
        <v>100</v>
      </c>
    </row>
    <row r="58" spans="1:12">
      <c r="A58" s="1">
        <f>VLOOKUP(B58,[1]SkillName!$A:$B,2,FALSE)</f>
        <v>0</v>
      </c>
      <c r="B58">
        <v>56</v>
      </c>
      <c r="C58" t="s">
        <v>59</v>
      </c>
      <c r="D58" s="2">
        <v>0</v>
      </c>
      <c r="E58" s="1" t="str">
        <f>VLOOKUP(D58,定義!$A$2:$D$4,4,FALSE)</f>
        <v>無_物理</v>
      </c>
      <c r="F58">
        <v>0</v>
      </c>
      <c r="G58" s="1" t="str">
        <f>VLOOKUP(F58,定義!$A$2:$C$4,2,FALSE)</f>
        <v>ダメージ</v>
      </c>
      <c r="H58">
        <v>0</v>
      </c>
      <c r="I58" s="1" t="str">
        <f>VLOOKUP(H58,定義!$A$2:$C$4,3,FALSE)</f>
        <v>敵</v>
      </c>
      <c r="J58">
        <v>100</v>
      </c>
      <c r="K58" s="2">
        <v>1000</v>
      </c>
      <c r="L58" s="1">
        <f t="shared" si="1"/>
        <v>100</v>
      </c>
    </row>
    <row r="59" spans="1:12">
      <c r="A59" s="1">
        <f>VLOOKUP(B59,[1]SkillName!$A:$B,2,FALSE)</f>
        <v>0</v>
      </c>
      <c r="B59">
        <v>57</v>
      </c>
      <c r="C59" t="s">
        <v>60</v>
      </c>
      <c r="D59" s="2">
        <v>0</v>
      </c>
      <c r="E59" s="1" t="str">
        <f>VLOOKUP(D59,定義!$A$2:$D$4,4,FALSE)</f>
        <v>無_物理</v>
      </c>
      <c r="F59">
        <v>0</v>
      </c>
      <c r="G59" s="1" t="str">
        <f>VLOOKUP(F59,定義!$A$2:$C$4,2,FALSE)</f>
        <v>ダメージ</v>
      </c>
      <c r="H59">
        <v>0</v>
      </c>
      <c r="I59" s="1" t="str">
        <f>VLOOKUP(H59,定義!$A$2:$C$4,3,FALSE)</f>
        <v>敵</v>
      </c>
      <c r="J59">
        <v>100</v>
      </c>
      <c r="K59" s="2">
        <v>1000</v>
      </c>
      <c r="L59" s="1">
        <f t="shared" si="1"/>
        <v>100</v>
      </c>
    </row>
    <row r="60" spans="1:12">
      <c r="A60" s="1">
        <f>VLOOKUP(B60,[1]SkillName!$A:$B,2,FALSE)</f>
        <v>0</v>
      </c>
      <c r="B60">
        <v>58</v>
      </c>
      <c r="C60" t="s">
        <v>61</v>
      </c>
      <c r="D60" s="2">
        <v>0</v>
      </c>
      <c r="E60" s="1" t="str">
        <f>VLOOKUP(D60,定義!$A$2:$D$4,4,FALSE)</f>
        <v>無_物理</v>
      </c>
      <c r="F60">
        <v>0</v>
      </c>
      <c r="G60" s="1" t="str">
        <f>VLOOKUP(F60,定義!$A$2:$C$4,2,FALSE)</f>
        <v>ダメージ</v>
      </c>
      <c r="H60">
        <v>0</v>
      </c>
      <c r="I60" s="1" t="str">
        <f>VLOOKUP(H60,定義!$A$2:$C$4,3,FALSE)</f>
        <v>敵</v>
      </c>
      <c r="J60">
        <v>100</v>
      </c>
      <c r="K60" s="2">
        <v>1000</v>
      </c>
      <c r="L60" s="1">
        <f t="shared" si="1"/>
        <v>100</v>
      </c>
    </row>
    <row r="61" spans="1:12">
      <c r="A61" s="1">
        <f>VLOOKUP(B61,[1]SkillName!$A:$B,2,FALSE)</f>
        <v>0</v>
      </c>
      <c r="B61">
        <v>59</v>
      </c>
      <c r="C61" t="s">
        <v>62</v>
      </c>
      <c r="D61" s="2">
        <v>0</v>
      </c>
      <c r="E61" s="1" t="str">
        <f>VLOOKUP(D61,定義!$A$2:$D$4,4,FALSE)</f>
        <v>無_物理</v>
      </c>
      <c r="F61">
        <v>0</v>
      </c>
      <c r="G61" s="1" t="str">
        <f>VLOOKUP(F61,定義!$A$2:$C$4,2,FALSE)</f>
        <v>ダメージ</v>
      </c>
      <c r="H61">
        <v>0</v>
      </c>
      <c r="I61" s="1" t="str">
        <f>VLOOKUP(H61,定義!$A$2:$C$4,3,FALSE)</f>
        <v>敵</v>
      </c>
      <c r="J61">
        <v>100</v>
      </c>
      <c r="K61" s="2">
        <v>1000</v>
      </c>
      <c r="L61" s="1">
        <f t="shared" si="1"/>
        <v>100</v>
      </c>
    </row>
    <row r="62" spans="1:12">
      <c r="A62" s="1">
        <f>VLOOKUP(B62,[1]SkillName!$A:$B,2,FALSE)</f>
        <v>0</v>
      </c>
      <c r="B62">
        <v>60</v>
      </c>
      <c r="C62" t="s">
        <v>63</v>
      </c>
      <c r="D62" s="2">
        <v>0</v>
      </c>
      <c r="E62" s="1" t="str">
        <f>VLOOKUP(D62,定義!$A$2:$D$4,4,FALSE)</f>
        <v>無_物理</v>
      </c>
      <c r="F62">
        <v>0</v>
      </c>
      <c r="G62" s="1" t="str">
        <f>VLOOKUP(F62,定義!$A$2:$C$4,2,FALSE)</f>
        <v>ダメージ</v>
      </c>
      <c r="H62">
        <v>0</v>
      </c>
      <c r="I62" s="1" t="str">
        <f>VLOOKUP(H62,定義!$A$2:$C$4,3,FALSE)</f>
        <v>敵</v>
      </c>
      <c r="J62">
        <v>100</v>
      </c>
      <c r="K62" s="2">
        <v>1000</v>
      </c>
      <c r="L62" s="1">
        <f t="shared" si="1"/>
        <v>100</v>
      </c>
    </row>
    <row r="63" spans="1:12">
      <c r="A63" s="1">
        <f>VLOOKUP(B63,[1]SkillName!$A:$B,2,FALSE)</f>
        <v>0</v>
      </c>
      <c r="B63">
        <v>61</v>
      </c>
      <c r="C63" t="s">
        <v>64</v>
      </c>
      <c r="D63" s="2">
        <v>0</v>
      </c>
      <c r="E63" s="1" t="str">
        <f>VLOOKUP(D63,定義!$A$2:$D$4,4,FALSE)</f>
        <v>無_物理</v>
      </c>
      <c r="F63">
        <v>0</v>
      </c>
      <c r="G63" s="1" t="str">
        <f>VLOOKUP(F63,定義!$A$2:$C$4,2,FALSE)</f>
        <v>ダメージ</v>
      </c>
      <c r="H63">
        <v>0</v>
      </c>
      <c r="I63" s="1" t="str">
        <f>VLOOKUP(H63,定義!$A$2:$C$4,3,FALSE)</f>
        <v>敵</v>
      </c>
      <c r="J63">
        <v>100</v>
      </c>
      <c r="K63" s="2">
        <v>1000</v>
      </c>
      <c r="L63" s="1">
        <f t="shared" si="1"/>
        <v>100</v>
      </c>
    </row>
    <row r="64" spans="1:12">
      <c r="A64" s="1">
        <f>VLOOKUP(B64,[1]SkillName!$A:$B,2,FALSE)</f>
        <v>0</v>
      </c>
      <c r="B64">
        <v>62</v>
      </c>
      <c r="C64" t="s">
        <v>65</v>
      </c>
      <c r="D64" s="2">
        <v>0</v>
      </c>
      <c r="E64" s="1" t="str">
        <f>VLOOKUP(D64,定義!$A$2:$D$4,4,FALSE)</f>
        <v>無_物理</v>
      </c>
      <c r="F64">
        <v>0</v>
      </c>
      <c r="G64" s="1" t="str">
        <f>VLOOKUP(F64,定義!$A$2:$C$4,2,FALSE)</f>
        <v>ダメージ</v>
      </c>
      <c r="H64">
        <v>0</v>
      </c>
      <c r="I64" s="1" t="str">
        <f>VLOOKUP(H64,定義!$A$2:$C$4,3,FALSE)</f>
        <v>敵</v>
      </c>
      <c r="J64">
        <v>100</v>
      </c>
      <c r="K64" s="2">
        <v>1000</v>
      </c>
      <c r="L64" s="1">
        <f t="shared" si="1"/>
        <v>100</v>
      </c>
    </row>
    <row r="65" spans="1:12">
      <c r="A65" s="1">
        <f>VLOOKUP(B65,[1]SkillName!$A:$B,2,FALSE)</f>
        <v>0</v>
      </c>
      <c r="B65">
        <v>63</v>
      </c>
      <c r="C65" t="s">
        <v>66</v>
      </c>
      <c r="D65" s="2">
        <v>0</v>
      </c>
      <c r="E65" s="1" t="str">
        <f>VLOOKUP(D65,定義!$A$2:$D$4,4,FALSE)</f>
        <v>無_物理</v>
      </c>
      <c r="F65">
        <v>0</v>
      </c>
      <c r="G65" s="1" t="str">
        <f>VLOOKUP(F65,定義!$A$2:$C$4,2,FALSE)</f>
        <v>ダメージ</v>
      </c>
      <c r="H65">
        <v>0</v>
      </c>
      <c r="I65" s="1" t="str">
        <f>VLOOKUP(H65,定義!$A$2:$C$4,3,FALSE)</f>
        <v>敵</v>
      </c>
      <c r="J65">
        <v>100</v>
      </c>
      <c r="K65" s="2">
        <v>1000</v>
      </c>
      <c r="L65" s="1">
        <f t="shared" si="1"/>
        <v>100</v>
      </c>
    </row>
    <row r="66" spans="1:12">
      <c r="A66" s="1">
        <f>VLOOKUP(B66,[1]SkillName!$A:$B,2,FALSE)</f>
        <v>0</v>
      </c>
      <c r="B66">
        <v>64</v>
      </c>
      <c r="C66" t="s">
        <v>67</v>
      </c>
      <c r="D66" s="2">
        <v>0</v>
      </c>
      <c r="E66" s="1" t="str">
        <f>VLOOKUP(D66,定義!$A$2:$D$4,4,FALSE)</f>
        <v>無_物理</v>
      </c>
      <c r="F66">
        <v>0</v>
      </c>
      <c r="G66" s="1" t="str">
        <f>VLOOKUP(F66,定義!$A$2:$C$4,2,FALSE)</f>
        <v>ダメージ</v>
      </c>
      <c r="H66">
        <v>0</v>
      </c>
      <c r="I66" s="1" t="str">
        <f>VLOOKUP(H66,定義!$A$2:$C$4,3,FALSE)</f>
        <v>敵</v>
      </c>
      <c r="J66">
        <v>100</v>
      </c>
      <c r="K66" s="2">
        <v>1000</v>
      </c>
      <c r="L66" s="1">
        <f t="shared" si="1"/>
        <v>100</v>
      </c>
    </row>
    <row r="67" spans="1:12">
      <c r="A67" s="1">
        <f>VLOOKUP(B67,[1]SkillName!$A:$B,2,FALSE)</f>
        <v>0</v>
      </c>
      <c r="B67">
        <v>65</v>
      </c>
      <c r="C67" t="s">
        <v>68</v>
      </c>
      <c r="D67" s="2">
        <v>0</v>
      </c>
      <c r="E67" s="1" t="str">
        <f>VLOOKUP(D67,定義!$A$2:$D$4,4,FALSE)</f>
        <v>無_物理</v>
      </c>
      <c r="F67">
        <v>0</v>
      </c>
      <c r="G67" s="1" t="str">
        <f>VLOOKUP(F67,定義!$A$2:$C$4,2,FALSE)</f>
        <v>ダメージ</v>
      </c>
      <c r="H67">
        <v>0</v>
      </c>
      <c r="I67" s="1" t="str">
        <f>VLOOKUP(H67,定義!$A$2:$C$4,3,FALSE)</f>
        <v>敵</v>
      </c>
      <c r="J67">
        <v>100</v>
      </c>
      <c r="K67" s="2">
        <v>1000</v>
      </c>
      <c r="L67" s="1">
        <f t="shared" si="1"/>
        <v>100</v>
      </c>
    </row>
    <row r="68" spans="1:12">
      <c r="A68" s="1">
        <f>VLOOKUP(B68,[1]SkillName!$A:$B,2,FALSE)</f>
        <v>0</v>
      </c>
      <c r="B68">
        <v>66</v>
      </c>
      <c r="C68" t="s">
        <v>69</v>
      </c>
      <c r="D68" s="2">
        <v>0</v>
      </c>
      <c r="E68" s="1" t="str">
        <f>VLOOKUP(D68,定義!$A$2:$D$4,4,FALSE)</f>
        <v>無_物理</v>
      </c>
      <c r="F68">
        <v>0</v>
      </c>
      <c r="G68" s="1" t="str">
        <f>VLOOKUP(F68,定義!$A$2:$C$4,2,FALSE)</f>
        <v>ダメージ</v>
      </c>
      <c r="H68">
        <v>0</v>
      </c>
      <c r="I68" s="1" t="str">
        <f>VLOOKUP(H68,定義!$A$2:$C$4,3,FALSE)</f>
        <v>敵</v>
      </c>
      <c r="J68">
        <v>100</v>
      </c>
      <c r="K68" s="2">
        <v>1000</v>
      </c>
      <c r="L68" s="1">
        <f t="shared" si="1"/>
        <v>100</v>
      </c>
    </row>
    <row r="69" spans="1:12">
      <c r="A69" s="1">
        <f>VLOOKUP(B69,[1]SkillName!$A:$B,2,FALSE)</f>
        <v>0</v>
      </c>
      <c r="B69">
        <v>67</v>
      </c>
      <c r="C69" t="s">
        <v>70</v>
      </c>
      <c r="D69" s="2">
        <v>0</v>
      </c>
      <c r="E69" s="1" t="str">
        <f>VLOOKUP(D69,定義!$A$2:$D$4,4,FALSE)</f>
        <v>無_物理</v>
      </c>
      <c r="F69">
        <v>0</v>
      </c>
      <c r="G69" s="1" t="str">
        <f>VLOOKUP(F69,定義!$A$2:$C$4,2,FALSE)</f>
        <v>ダメージ</v>
      </c>
      <c r="H69">
        <v>0</v>
      </c>
      <c r="I69" s="1" t="str">
        <f>VLOOKUP(H69,定義!$A$2:$C$4,3,FALSE)</f>
        <v>敵</v>
      </c>
      <c r="J69">
        <v>100</v>
      </c>
      <c r="K69" s="2">
        <v>1000</v>
      </c>
      <c r="L69" s="1">
        <f t="shared" si="1"/>
        <v>100</v>
      </c>
    </row>
    <row r="70" spans="1:12">
      <c r="A70" s="1">
        <f>VLOOKUP(B70,[1]SkillName!$A:$B,2,FALSE)</f>
        <v>0</v>
      </c>
      <c r="B70">
        <v>68</v>
      </c>
      <c r="C70" t="s">
        <v>71</v>
      </c>
      <c r="D70" s="2">
        <v>0</v>
      </c>
      <c r="E70" s="1" t="str">
        <f>VLOOKUP(D70,定義!$A$2:$D$4,4,FALSE)</f>
        <v>無_物理</v>
      </c>
      <c r="F70">
        <v>0</v>
      </c>
      <c r="G70" s="1" t="str">
        <f>VLOOKUP(F70,定義!$A$2:$C$4,2,FALSE)</f>
        <v>ダメージ</v>
      </c>
      <c r="H70">
        <v>0</v>
      </c>
      <c r="I70" s="1" t="str">
        <f>VLOOKUP(H70,定義!$A$2:$C$4,3,FALSE)</f>
        <v>敵</v>
      </c>
      <c r="J70">
        <v>100</v>
      </c>
      <c r="K70" s="2">
        <v>1000</v>
      </c>
      <c r="L70" s="1">
        <f t="shared" ref="L70:L133" si="2">J70*1000/K70</f>
        <v>100</v>
      </c>
    </row>
    <row r="71" spans="1:12">
      <c r="A71" s="1">
        <f>VLOOKUP(B71,[1]SkillName!$A:$B,2,FALSE)</f>
        <v>0</v>
      </c>
      <c r="B71">
        <v>69</v>
      </c>
      <c r="C71" t="s">
        <v>72</v>
      </c>
      <c r="D71" s="2">
        <v>0</v>
      </c>
      <c r="E71" s="1" t="str">
        <f>VLOOKUP(D71,定義!$A$2:$D$4,4,FALSE)</f>
        <v>無_物理</v>
      </c>
      <c r="F71">
        <v>0</v>
      </c>
      <c r="G71" s="1" t="str">
        <f>VLOOKUP(F71,定義!$A$2:$C$4,2,FALSE)</f>
        <v>ダメージ</v>
      </c>
      <c r="H71">
        <v>0</v>
      </c>
      <c r="I71" s="1" t="str">
        <f>VLOOKUP(H71,定義!$A$2:$C$4,3,FALSE)</f>
        <v>敵</v>
      </c>
      <c r="J71">
        <v>100</v>
      </c>
      <c r="K71" s="2">
        <v>1000</v>
      </c>
      <c r="L71" s="1">
        <f t="shared" si="2"/>
        <v>100</v>
      </c>
    </row>
    <row r="72" spans="1:12">
      <c r="A72" s="1">
        <f>VLOOKUP(B72,[1]SkillName!$A:$B,2,FALSE)</f>
        <v>0</v>
      </c>
      <c r="B72">
        <v>70</v>
      </c>
      <c r="C72" t="s">
        <v>73</v>
      </c>
      <c r="D72" s="2">
        <v>0</v>
      </c>
      <c r="E72" s="1" t="str">
        <f>VLOOKUP(D72,定義!$A$2:$D$4,4,FALSE)</f>
        <v>無_物理</v>
      </c>
      <c r="F72">
        <v>0</v>
      </c>
      <c r="G72" s="1" t="str">
        <f>VLOOKUP(F72,定義!$A$2:$C$4,2,FALSE)</f>
        <v>ダメージ</v>
      </c>
      <c r="H72">
        <v>0</v>
      </c>
      <c r="I72" s="1" t="str">
        <f>VLOOKUP(H72,定義!$A$2:$C$4,3,FALSE)</f>
        <v>敵</v>
      </c>
      <c r="J72">
        <v>100</v>
      </c>
      <c r="K72" s="2">
        <v>1000</v>
      </c>
      <c r="L72" s="1">
        <f t="shared" si="2"/>
        <v>100</v>
      </c>
    </row>
    <row r="73" spans="1:12">
      <c r="A73" s="1">
        <f>VLOOKUP(B73,[1]SkillName!$A:$B,2,FALSE)</f>
        <v>0</v>
      </c>
      <c r="B73">
        <v>71</v>
      </c>
      <c r="C73" t="s">
        <v>74</v>
      </c>
      <c r="D73" s="2">
        <v>0</v>
      </c>
      <c r="E73" s="1" t="str">
        <f>VLOOKUP(D73,定義!$A$2:$D$4,4,FALSE)</f>
        <v>無_物理</v>
      </c>
      <c r="F73">
        <v>0</v>
      </c>
      <c r="G73" s="1" t="str">
        <f>VLOOKUP(F73,定義!$A$2:$C$4,2,FALSE)</f>
        <v>ダメージ</v>
      </c>
      <c r="H73">
        <v>0</v>
      </c>
      <c r="I73" s="1" t="str">
        <f>VLOOKUP(H73,定義!$A$2:$C$4,3,FALSE)</f>
        <v>敵</v>
      </c>
      <c r="J73">
        <v>100</v>
      </c>
      <c r="K73" s="2">
        <v>1000</v>
      </c>
      <c r="L73" s="1">
        <f t="shared" si="2"/>
        <v>100</v>
      </c>
    </row>
    <row r="74" spans="1:12">
      <c r="A74" s="1">
        <f>VLOOKUP(B74,[1]SkillName!$A:$B,2,FALSE)</f>
        <v>0</v>
      </c>
      <c r="B74">
        <v>72</v>
      </c>
      <c r="C74" t="s">
        <v>75</v>
      </c>
      <c r="D74" s="2">
        <v>0</v>
      </c>
      <c r="E74" s="1" t="str">
        <f>VLOOKUP(D74,定義!$A$2:$D$4,4,FALSE)</f>
        <v>無_物理</v>
      </c>
      <c r="F74">
        <v>0</v>
      </c>
      <c r="G74" s="1" t="str">
        <f>VLOOKUP(F74,定義!$A$2:$C$4,2,FALSE)</f>
        <v>ダメージ</v>
      </c>
      <c r="H74">
        <v>0</v>
      </c>
      <c r="I74" s="1" t="str">
        <f>VLOOKUP(H74,定義!$A$2:$C$4,3,FALSE)</f>
        <v>敵</v>
      </c>
      <c r="J74">
        <v>100</v>
      </c>
      <c r="K74" s="2">
        <v>1000</v>
      </c>
      <c r="L74" s="1">
        <f t="shared" si="2"/>
        <v>100</v>
      </c>
    </row>
    <row r="75" spans="1:12">
      <c r="A75" s="1">
        <f>VLOOKUP(B75,[1]SkillName!$A:$B,2,FALSE)</f>
        <v>0</v>
      </c>
      <c r="B75">
        <v>73</v>
      </c>
      <c r="C75" t="s">
        <v>76</v>
      </c>
      <c r="D75" s="2">
        <v>0</v>
      </c>
      <c r="E75" s="1" t="str">
        <f>VLOOKUP(D75,定義!$A$2:$D$4,4,FALSE)</f>
        <v>無_物理</v>
      </c>
      <c r="F75">
        <v>0</v>
      </c>
      <c r="G75" s="1" t="str">
        <f>VLOOKUP(F75,定義!$A$2:$C$4,2,FALSE)</f>
        <v>ダメージ</v>
      </c>
      <c r="H75">
        <v>0</v>
      </c>
      <c r="I75" s="1" t="str">
        <f>VLOOKUP(H75,定義!$A$2:$C$4,3,FALSE)</f>
        <v>敵</v>
      </c>
      <c r="J75">
        <v>100</v>
      </c>
      <c r="K75" s="2">
        <v>1000</v>
      </c>
      <c r="L75" s="1">
        <f t="shared" si="2"/>
        <v>100</v>
      </c>
    </row>
    <row r="76" spans="1:12">
      <c r="A76" s="1">
        <f>VLOOKUP(B76,[1]SkillName!$A:$B,2,FALSE)</f>
        <v>0</v>
      </c>
      <c r="B76">
        <v>74</v>
      </c>
      <c r="C76" t="s">
        <v>77</v>
      </c>
      <c r="D76" s="2">
        <v>0</v>
      </c>
      <c r="E76" s="1" t="str">
        <f>VLOOKUP(D76,定義!$A$2:$D$4,4,FALSE)</f>
        <v>無_物理</v>
      </c>
      <c r="F76">
        <v>0</v>
      </c>
      <c r="G76" s="1" t="str">
        <f>VLOOKUP(F76,定義!$A$2:$C$4,2,FALSE)</f>
        <v>ダメージ</v>
      </c>
      <c r="H76">
        <v>0</v>
      </c>
      <c r="I76" s="1" t="str">
        <f>VLOOKUP(H76,定義!$A$2:$C$4,3,FALSE)</f>
        <v>敵</v>
      </c>
      <c r="J76">
        <v>100</v>
      </c>
      <c r="K76" s="2">
        <v>1000</v>
      </c>
      <c r="L76" s="1">
        <f t="shared" si="2"/>
        <v>100</v>
      </c>
    </row>
    <row r="77" spans="1:12">
      <c r="A77" s="1">
        <f>VLOOKUP(B77,[1]SkillName!$A:$B,2,FALSE)</f>
        <v>0</v>
      </c>
      <c r="B77">
        <v>75</v>
      </c>
      <c r="C77" t="s">
        <v>78</v>
      </c>
      <c r="D77" s="2">
        <v>0</v>
      </c>
      <c r="E77" s="1" t="str">
        <f>VLOOKUP(D77,定義!$A$2:$D$4,4,FALSE)</f>
        <v>無_物理</v>
      </c>
      <c r="F77">
        <v>0</v>
      </c>
      <c r="G77" s="1" t="str">
        <f>VLOOKUP(F77,定義!$A$2:$C$4,2,FALSE)</f>
        <v>ダメージ</v>
      </c>
      <c r="H77">
        <v>0</v>
      </c>
      <c r="I77" s="1" t="str">
        <f>VLOOKUP(H77,定義!$A$2:$C$4,3,FALSE)</f>
        <v>敵</v>
      </c>
      <c r="J77">
        <v>100</v>
      </c>
      <c r="K77" s="2">
        <v>1000</v>
      </c>
      <c r="L77" s="1">
        <f t="shared" si="2"/>
        <v>100</v>
      </c>
    </row>
    <row r="78" spans="1:12">
      <c r="A78" s="1">
        <f>VLOOKUP(B78,[1]SkillName!$A:$B,2,FALSE)</f>
        <v>0</v>
      </c>
      <c r="B78">
        <v>76</v>
      </c>
      <c r="C78" t="s">
        <v>79</v>
      </c>
      <c r="D78" s="2">
        <v>0</v>
      </c>
      <c r="E78" s="1" t="str">
        <f>VLOOKUP(D78,定義!$A$2:$D$4,4,FALSE)</f>
        <v>無_物理</v>
      </c>
      <c r="F78">
        <v>0</v>
      </c>
      <c r="G78" s="1" t="str">
        <f>VLOOKUP(F78,定義!$A$2:$C$4,2,FALSE)</f>
        <v>ダメージ</v>
      </c>
      <c r="H78">
        <v>0</v>
      </c>
      <c r="I78" s="1" t="str">
        <f>VLOOKUP(H78,定義!$A$2:$C$4,3,FALSE)</f>
        <v>敵</v>
      </c>
      <c r="J78">
        <v>100</v>
      </c>
      <c r="K78" s="2">
        <v>1000</v>
      </c>
      <c r="L78" s="1">
        <f t="shared" si="2"/>
        <v>100</v>
      </c>
    </row>
    <row r="79" spans="1:12">
      <c r="A79" s="1">
        <f>VLOOKUP(B79,[1]SkillName!$A:$B,2,FALSE)</f>
        <v>0</v>
      </c>
      <c r="B79">
        <v>77</v>
      </c>
      <c r="C79" t="s">
        <v>80</v>
      </c>
      <c r="D79" s="2">
        <v>0</v>
      </c>
      <c r="E79" s="1" t="str">
        <f>VLOOKUP(D79,定義!$A$2:$D$4,4,FALSE)</f>
        <v>無_物理</v>
      </c>
      <c r="F79">
        <v>0</v>
      </c>
      <c r="G79" s="1" t="str">
        <f>VLOOKUP(F79,定義!$A$2:$C$4,2,FALSE)</f>
        <v>ダメージ</v>
      </c>
      <c r="H79">
        <v>0</v>
      </c>
      <c r="I79" s="1" t="str">
        <f>VLOOKUP(H79,定義!$A$2:$C$4,3,FALSE)</f>
        <v>敵</v>
      </c>
      <c r="J79">
        <v>100</v>
      </c>
      <c r="K79" s="2">
        <v>1000</v>
      </c>
      <c r="L79" s="1">
        <f t="shared" si="2"/>
        <v>100</v>
      </c>
    </row>
    <row r="80" spans="1:12">
      <c r="A80" s="1">
        <f>VLOOKUP(B80,[1]SkillName!$A:$B,2,FALSE)</f>
        <v>0</v>
      </c>
      <c r="B80">
        <v>78</v>
      </c>
      <c r="C80" t="s">
        <v>81</v>
      </c>
      <c r="D80" s="2">
        <v>0</v>
      </c>
      <c r="E80" s="1" t="str">
        <f>VLOOKUP(D80,定義!$A$2:$D$4,4,FALSE)</f>
        <v>無_物理</v>
      </c>
      <c r="F80">
        <v>0</v>
      </c>
      <c r="G80" s="1" t="str">
        <f>VLOOKUP(F80,定義!$A$2:$C$4,2,FALSE)</f>
        <v>ダメージ</v>
      </c>
      <c r="H80">
        <v>0</v>
      </c>
      <c r="I80" s="1" t="str">
        <f>VLOOKUP(H80,定義!$A$2:$C$4,3,FALSE)</f>
        <v>敵</v>
      </c>
      <c r="J80">
        <v>100</v>
      </c>
      <c r="K80" s="2">
        <v>1000</v>
      </c>
      <c r="L80" s="1">
        <f t="shared" si="2"/>
        <v>100</v>
      </c>
    </row>
    <row r="81" spans="1:12">
      <c r="A81" s="1">
        <f>VLOOKUP(B81,[1]SkillName!$A:$B,2,FALSE)</f>
        <v>0</v>
      </c>
      <c r="B81">
        <v>79</v>
      </c>
      <c r="C81" t="s">
        <v>82</v>
      </c>
      <c r="D81" s="2">
        <v>0</v>
      </c>
      <c r="E81" s="1" t="str">
        <f>VLOOKUP(D81,定義!$A$2:$D$4,4,FALSE)</f>
        <v>無_物理</v>
      </c>
      <c r="F81">
        <v>0</v>
      </c>
      <c r="G81" s="1" t="str">
        <f>VLOOKUP(F81,定義!$A$2:$C$4,2,FALSE)</f>
        <v>ダメージ</v>
      </c>
      <c r="H81">
        <v>0</v>
      </c>
      <c r="I81" s="1" t="str">
        <f>VLOOKUP(H81,定義!$A$2:$C$4,3,FALSE)</f>
        <v>敵</v>
      </c>
      <c r="J81">
        <v>100</v>
      </c>
      <c r="K81" s="2">
        <v>1000</v>
      </c>
      <c r="L81" s="1">
        <f t="shared" si="2"/>
        <v>100</v>
      </c>
    </row>
    <row r="82" spans="1:12">
      <c r="A82" s="1">
        <f>VLOOKUP(B82,[1]SkillName!$A:$B,2,FALSE)</f>
        <v>0</v>
      </c>
      <c r="B82">
        <v>80</v>
      </c>
      <c r="C82" t="s">
        <v>83</v>
      </c>
      <c r="D82" s="2">
        <v>0</v>
      </c>
      <c r="E82" s="1" t="str">
        <f>VLOOKUP(D82,定義!$A$2:$D$4,4,FALSE)</f>
        <v>無_物理</v>
      </c>
      <c r="F82">
        <v>0</v>
      </c>
      <c r="G82" s="1" t="str">
        <f>VLOOKUP(F82,定義!$A$2:$C$4,2,FALSE)</f>
        <v>ダメージ</v>
      </c>
      <c r="H82">
        <v>0</v>
      </c>
      <c r="I82" s="1" t="str">
        <f>VLOOKUP(H82,定義!$A$2:$C$4,3,FALSE)</f>
        <v>敵</v>
      </c>
      <c r="J82">
        <v>100</v>
      </c>
      <c r="K82" s="2">
        <v>1000</v>
      </c>
      <c r="L82" s="1">
        <f t="shared" si="2"/>
        <v>100</v>
      </c>
    </row>
    <row r="83" spans="1:12">
      <c r="A83" s="1">
        <f>VLOOKUP(B83,[1]SkillName!$A:$B,2,FALSE)</f>
        <v>0</v>
      </c>
      <c r="B83">
        <v>81</v>
      </c>
      <c r="C83" t="s">
        <v>84</v>
      </c>
      <c r="D83" s="2">
        <v>0</v>
      </c>
      <c r="E83" s="1" t="str">
        <f>VLOOKUP(D83,定義!$A$2:$D$4,4,FALSE)</f>
        <v>無_物理</v>
      </c>
      <c r="F83">
        <v>0</v>
      </c>
      <c r="G83" s="1" t="str">
        <f>VLOOKUP(F83,定義!$A$2:$C$4,2,FALSE)</f>
        <v>ダメージ</v>
      </c>
      <c r="H83">
        <v>0</v>
      </c>
      <c r="I83" s="1" t="str">
        <f>VLOOKUP(H83,定義!$A$2:$C$4,3,FALSE)</f>
        <v>敵</v>
      </c>
      <c r="J83">
        <v>100</v>
      </c>
      <c r="K83" s="2">
        <v>1000</v>
      </c>
      <c r="L83" s="1">
        <f t="shared" si="2"/>
        <v>100</v>
      </c>
    </row>
    <row r="84" spans="1:12">
      <c r="A84" s="1">
        <f>VLOOKUP(B84,[1]SkillName!$A:$B,2,FALSE)</f>
        <v>0</v>
      </c>
      <c r="B84">
        <v>82</v>
      </c>
      <c r="C84" t="s">
        <v>85</v>
      </c>
      <c r="D84" s="2">
        <v>0</v>
      </c>
      <c r="E84" s="1" t="str">
        <f>VLOOKUP(D84,定義!$A$2:$D$4,4,FALSE)</f>
        <v>無_物理</v>
      </c>
      <c r="F84">
        <v>0</v>
      </c>
      <c r="G84" s="1" t="str">
        <f>VLOOKUP(F84,定義!$A$2:$C$4,2,FALSE)</f>
        <v>ダメージ</v>
      </c>
      <c r="H84">
        <v>0</v>
      </c>
      <c r="I84" s="1" t="str">
        <f>VLOOKUP(H84,定義!$A$2:$C$4,3,FALSE)</f>
        <v>敵</v>
      </c>
      <c r="J84">
        <v>100</v>
      </c>
      <c r="K84" s="2">
        <v>1000</v>
      </c>
      <c r="L84" s="1">
        <f t="shared" si="2"/>
        <v>100</v>
      </c>
    </row>
    <row r="85" spans="1:12">
      <c r="A85" s="1">
        <f>VLOOKUP(B85,[1]SkillName!$A:$B,2,FALSE)</f>
        <v>0</v>
      </c>
      <c r="B85">
        <v>83</v>
      </c>
      <c r="C85" t="s">
        <v>86</v>
      </c>
      <c r="D85" s="2">
        <v>0</v>
      </c>
      <c r="E85" s="1" t="str">
        <f>VLOOKUP(D85,定義!$A$2:$D$4,4,FALSE)</f>
        <v>無_物理</v>
      </c>
      <c r="F85">
        <v>0</v>
      </c>
      <c r="G85" s="1" t="str">
        <f>VLOOKUP(F85,定義!$A$2:$C$4,2,FALSE)</f>
        <v>ダメージ</v>
      </c>
      <c r="H85">
        <v>0</v>
      </c>
      <c r="I85" s="1" t="str">
        <f>VLOOKUP(H85,定義!$A$2:$C$4,3,FALSE)</f>
        <v>敵</v>
      </c>
      <c r="J85">
        <v>100</v>
      </c>
      <c r="K85" s="2">
        <v>1000</v>
      </c>
      <c r="L85" s="1">
        <f t="shared" si="2"/>
        <v>100</v>
      </c>
    </row>
    <row r="86" spans="1:12">
      <c r="A86" s="1">
        <f>VLOOKUP(B86,[1]SkillName!$A:$B,2,FALSE)</f>
        <v>0</v>
      </c>
      <c r="B86">
        <v>84</v>
      </c>
      <c r="C86" t="s">
        <v>87</v>
      </c>
      <c r="D86" s="2">
        <v>0</v>
      </c>
      <c r="E86" s="1" t="str">
        <f>VLOOKUP(D86,定義!$A$2:$D$4,4,FALSE)</f>
        <v>無_物理</v>
      </c>
      <c r="F86">
        <v>0</v>
      </c>
      <c r="G86" s="1" t="str">
        <f>VLOOKUP(F86,定義!$A$2:$C$4,2,FALSE)</f>
        <v>ダメージ</v>
      </c>
      <c r="H86">
        <v>0</v>
      </c>
      <c r="I86" s="1" t="str">
        <f>VLOOKUP(H86,定義!$A$2:$C$4,3,FALSE)</f>
        <v>敵</v>
      </c>
      <c r="J86">
        <v>100</v>
      </c>
      <c r="K86" s="2">
        <v>1000</v>
      </c>
      <c r="L86" s="1">
        <f t="shared" si="2"/>
        <v>100</v>
      </c>
    </row>
    <row r="87" spans="1:12">
      <c r="A87" s="1">
        <f>VLOOKUP(B87,[1]SkillName!$A:$B,2,FALSE)</f>
        <v>0</v>
      </c>
      <c r="B87">
        <v>85</v>
      </c>
      <c r="C87" t="s">
        <v>88</v>
      </c>
      <c r="D87" s="2">
        <v>0</v>
      </c>
      <c r="E87" s="1" t="str">
        <f>VLOOKUP(D87,定義!$A$2:$D$4,4,FALSE)</f>
        <v>無_物理</v>
      </c>
      <c r="F87">
        <v>0</v>
      </c>
      <c r="G87" s="1" t="str">
        <f>VLOOKUP(F87,定義!$A$2:$C$4,2,FALSE)</f>
        <v>ダメージ</v>
      </c>
      <c r="H87">
        <v>0</v>
      </c>
      <c r="I87" s="1" t="str">
        <f>VLOOKUP(H87,定義!$A$2:$C$4,3,FALSE)</f>
        <v>敵</v>
      </c>
      <c r="J87">
        <v>100</v>
      </c>
      <c r="K87" s="2">
        <v>1000</v>
      </c>
      <c r="L87" s="1">
        <f t="shared" si="2"/>
        <v>100</v>
      </c>
    </row>
    <row r="88" spans="1:12">
      <c r="A88" s="1">
        <f>VLOOKUP(B88,[1]SkillName!$A:$B,2,FALSE)</f>
        <v>0</v>
      </c>
      <c r="B88">
        <v>86</v>
      </c>
      <c r="C88" t="s">
        <v>89</v>
      </c>
      <c r="D88" s="2">
        <v>0</v>
      </c>
      <c r="E88" s="1" t="str">
        <f>VLOOKUP(D88,定義!$A$2:$D$4,4,FALSE)</f>
        <v>無_物理</v>
      </c>
      <c r="F88">
        <v>0</v>
      </c>
      <c r="G88" s="1" t="str">
        <f>VLOOKUP(F88,定義!$A$2:$C$4,2,FALSE)</f>
        <v>ダメージ</v>
      </c>
      <c r="H88">
        <v>0</v>
      </c>
      <c r="I88" s="1" t="str">
        <f>VLOOKUP(H88,定義!$A$2:$C$4,3,FALSE)</f>
        <v>敵</v>
      </c>
      <c r="J88">
        <v>100</v>
      </c>
      <c r="K88" s="2">
        <v>1000</v>
      </c>
      <c r="L88" s="1">
        <f t="shared" si="2"/>
        <v>100</v>
      </c>
    </row>
    <row r="89" spans="1:12">
      <c r="A89" s="1">
        <f>VLOOKUP(B89,[1]SkillName!$A:$B,2,FALSE)</f>
        <v>0</v>
      </c>
      <c r="B89">
        <v>87</v>
      </c>
      <c r="C89" t="s">
        <v>90</v>
      </c>
      <c r="D89" s="2">
        <v>0</v>
      </c>
      <c r="E89" s="1" t="str">
        <f>VLOOKUP(D89,定義!$A$2:$D$4,4,FALSE)</f>
        <v>無_物理</v>
      </c>
      <c r="F89">
        <v>0</v>
      </c>
      <c r="G89" s="1" t="str">
        <f>VLOOKUP(F89,定義!$A$2:$C$4,2,FALSE)</f>
        <v>ダメージ</v>
      </c>
      <c r="H89">
        <v>0</v>
      </c>
      <c r="I89" s="1" t="str">
        <f>VLOOKUP(H89,定義!$A$2:$C$4,3,FALSE)</f>
        <v>敵</v>
      </c>
      <c r="J89">
        <v>100</v>
      </c>
      <c r="K89" s="2">
        <v>1000</v>
      </c>
      <c r="L89" s="1">
        <f t="shared" si="2"/>
        <v>100</v>
      </c>
    </row>
    <row r="90" spans="1:12">
      <c r="A90" s="1">
        <f>VLOOKUP(B90,[1]SkillName!$A:$B,2,FALSE)</f>
        <v>0</v>
      </c>
      <c r="B90">
        <v>88</v>
      </c>
      <c r="C90" t="s">
        <v>91</v>
      </c>
      <c r="D90" s="2">
        <v>0</v>
      </c>
      <c r="E90" s="1" t="str">
        <f>VLOOKUP(D90,定義!$A$2:$D$4,4,FALSE)</f>
        <v>無_物理</v>
      </c>
      <c r="F90">
        <v>0</v>
      </c>
      <c r="G90" s="1" t="str">
        <f>VLOOKUP(F90,定義!$A$2:$C$4,2,FALSE)</f>
        <v>ダメージ</v>
      </c>
      <c r="H90">
        <v>0</v>
      </c>
      <c r="I90" s="1" t="str">
        <f>VLOOKUP(H90,定義!$A$2:$C$4,3,FALSE)</f>
        <v>敵</v>
      </c>
      <c r="J90">
        <v>100</v>
      </c>
      <c r="K90" s="2">
        <v>1000</v>
      </c>
      <c r="L90" s="1">
        <f t="shared" si="2"/>
        <v>100</v>
      </c>
    </row>
    <row r="91" spans="1:12">
      <c r="A91" s="1">
        <f>VLOOKUP(B91,[1]SkillName!$A:$B,2,FALSE)</f>
        <v>0</v>
      </c>
      <c r="B91">
        <v>89</v>
      </c>
      <c r="C91" t="s">
        <v>92</v>
      </c>
      <c r="D91" s="2">
        <v>0</v>
      </c>
      <c r="E91" s="1" t="str">
        <f>VLOOKUP(D91,定義!$A$2:$D$4,4,FALSE)</f>
        <v>無_物理</v>
      </c>
      <c r="F91">
        <v>0</v>
      </c>
      <c r="G91" s="1" t="str">
        <f>VLOOKUP(F91,定義!$A$2:$C$4,2,FALSE)</f>
        <v>ダメージ</v>
      </c>
      <c r="H91">
        <v>0</v>
      </c>
      <c r="I91" s="1" t="str">
        <f>VLOOKUP(H91,定義!$A$2:$C$4,3,FALSE)</f>
        <v>敵</v>
      </c>
      <c r="J91">
        <v>100</v>
      </c>
      <c r="K91" s="2">
        <v>1000</v>
      </c>
      <c r="L91" s="1">
        <f t="shared" si="2"/>
        <v>100</v>
      </c>
    </row>
    <row r="92" spans="1:12">
      <c r="A92" s="1">
        <f>VLOOKUP(B92,[1]SkillName!$A:$B,2,FALSE)</f>
        <v>0</v>
      </c>
      <c r="B92">
        <v>90</v>
      </c>
      <c r="C92" t="s">
        <v>93</v>
      </c>
      <c r="D92" s="2">
        <v>0</v>
      </c>
      <c r="E92" s="1" t="str">
        <f>VLOOKUP(D92,定義!$A$2:$D$4,4,FALSE)</f>
        <v>無_物理</v>
      </c>
      <c r="F92">
        <v>0</v>
      </c>
      <c r="G92" s="1" t="str">
        <f>VLOOKUP(F92,定義!$A$2:$C$4,2,FALSE)</f>
        <v>ダメージ</v>
      </c>
      <c r="H92">
        <v>0</v>
      </c>
      <c r="I92" s="1" t="str">
        <f>VLOOKUP(H92,定義!$A$2:$C$4,3,FALSE)</f>
        <v>敵</v>
      </c>
      <c r="J92">
        <v>100</v>
      </c>
      <c r="K92" s="2">
        <v>1000</v>
      </c>
      <c r="L92" s="1">
        <f t="shared" si="2"/>
        <v>100</v>
      </c>
    </row>
    <row r="93" spans="1:12">
      <c r="A93" s="1">
        <f>VLOOKUP(B93,[1]SkillName!$A:$B,2,FALSE)</f>
        <v>0</v>
      </c>
      <c r="B93">
        <v>91</v>
      </c>
      <c r="C93" t="s">
        <v>94</v>
      </c>
      <c r="D93" s="2">
        <v>0</v>
      </c>
      <c r="E93" s="1" t="str">
        <f>VLOOKUP(D93,定義!$A$2:$D$4,4,FALSE)</f>
        <v>無_物理</v>
      </c>
      <c r="F93">
        <v>0</v>
      </c>
      <c r="G93" s="1" t="str">
        <f>VLOOKUP(F93,定義!$A$2:$C$4,2,FALSE)</f>
        <v>ダメージ</v>
      </c>
      <c r="H93">
        <v>0</v>
      </c>
      <c r="I93" s="1" t="str">
        <f>VLOOKUP(H93,定義!$A$2:$C$4,3,FALSE)</f>
        <v>敵</v>
      </c>
      <c r="J93">
        <v>100</v>
      </c>
      <c r="K93" s="2">
        <v>1000</v>
      </c>
      <c r="L93" s="1">
        <f t="shared" si="2"/>
        <v>100</v>
      </c>
    </row>
    <row r="94" spans="1:12">
      <c r="A94" s="1">
        <f>VLOOKUP(B94,[1]SkillName!$A:$B,2,FALSE)</f>
        <v>0</v>
      </c>
      <c r="B94">
        <v>92</v>
      </c>
      <c r="C94" t="s">
        <v>95</v>
      </c>
      <c r="D94" s="2">
        <v>0</v>
      </c>
      <c r="E94" s="1" t="str">
        <f>VLOOKUP(D94,定義!$A$2:$D$4,4,FALSE)</f>
        <v>無_物理</v>
      </c>
      <c r="F94">
        <v>0</v>
      </c>
      <c r="G94" s="1" t="str">
        <f>VLOOKUP(F94,定義!$A$2:$C$4,2,FALSE)</f>
        <v>ダメージ</v>
      </c>
      <c r="H94">
        <v>0</v>
      </c>
      <c r="I94" s="1" t="str">
        <f>VLOOKUP(H94,定義!$A$2:$C$4,3,FALSE)</f>
        <v>敵</v>
      </c>
      <c r="J94">
        <v>100</v>
      </c>
      <c r="K94" s="2">
        <v>1000</v>
      </c>
      <c r="L94" s="1">
        <f t="shared" si="2"/>
        <v>100</v>
      </c>
    </row>
    <row r="95" spans="1:12">
      <c r="A95" s="1">
        <f>VLOOKUP(B95,[1]SkillName!$A:$B,2,FALSE)</f>
        <v>0</v>
      </c>
      <c r="B95">
        <v>93</v>
      </c>
      <c r="C95" t="s">
        <v>96</v>
      </c>
      <c r="D95" s="2">
        <v>0</v>
      </c>
      <c r="E95" s="1" t="str">
        <f>VLOOKUP(D95,定義!$A$2:$D$4,4,FALSE)</f>
        <v>無_物理</v>
      </c>
      <c r="F95">
        <v>0</v>
      </c>
      <c r="G95" s="1" t="str">
        <f>VLOOKUP(F95,定義!$A$2:$C$4,2,FALSE)</f>
        <v>ダメージ</v>
      </c>
      <c r="H95">
        <v>0</v>
      </c>
      <c r="I95" s="1" t="str">
        <f>VLOOKUP(H95,定義!$A$2:$C$4,3,FALSE)</f>
        <v>敵</v>
      </c>
      <c r="J95">
        <v>100</v>
      </c>
      <c r="K95" s="2">
        <v>1000</v>
      </c>
      <c r="L95" s="1">
        <f t="shared" si="2"/>
        <v>100</v>
      </c>
    </row>
    <row r="96" spans="1:12">
      <c r="A96" s="1">
        <f>VLOOKUP(B96,[1]SkillName!$A:$B,2,FALSE)</f>
        <v>0</v>
      </c>
      <c r="B96">
        <v>94</v>
      </c>
      <c r="C96" t="s">
        <v>97</v>
      </c>
      <c r="D96" s="2">
        <v>0</v>
      </c>
      <c r="E96" s="1" t="str">
        <f>VLOOKUP(D96,定義!$A$2:$D$4,4,FALSE)</f>
        <v>無_物理</v>
      </c>
      <c r="F96">
        <v>0</v>
      </c>
      <c r="G96" s="1" t="str">
        <f>VLOOKUP(F96,定義!$A$2:$C$4,2,FALSE)</f>
        <v>ダメージ</v>
      </c>
      <c r="H96">
        <v>0</v>
      </c>
      <c r="I96" s="1" t="str">
        <f>VLOOKUP(H96,定義!$A$2:$C$4,3,FALSE)</f>
        <v>敵</v>
      </c>
      <c r="J96">
        <v>100</v>
      </c>
      <c r="K96" s="2">
        <v>1000</v>
      </c>
      <c r="L96" s="1">
        <f t="shared" si="2"/>
        <v>100</v>
      </c>
    </row>
    <row r="97" spans="1:12">
      <c r="A97" s="1">
        <f>VLOOKUP(B97,[1]SkillName!$A:$B,2,FALSE)</f>
        <v>0</v>
      </c>
      <c r="B97">
        <v>95</v>
      </c>
      <c r="C97" t="s">
        <v>98</v>
      </c>
      <c r="D97" s="2">
        <v>0</v>
      </c>
      <c r="E97" s="1" t="str">
        <f>VLOOKUP(D97,定義!$A$2:$D$4,4,FALSE)</f>
        <v>無_物理</v>
      </c>
      <c r="F97">
        <v>0</v>
      </c>
      <c r="G97" s="1" t="str">
        <f>VLOOKUP(F97,定義!$A$2:$C$4,2,FALSE)</f>
        <v>ダメージ</v>
      </c>
      <c r="H97">
        <v>0</v>
      </c>
      <c r="I97" s="1" t="str">
        <f>VLOOKUP(H97,定義!$A$2:$C$4,3,FALSE)</f>
        <v>敵</v>
      </c>
      <c r="J97">
        <v>100</v>
      </c>
      <c r="K97" s="2">
        <v>1000</v>
      </c>
      <c r="L97" s="1">
        <f t="shared" si="2"/>
        <v>100</v>
      </c>
    </row>
    <row r="98" spans="1:12">
      <c r="A98" s="1">
        <f>VLOOKUP(B98,[1]SkillName!$A:$B,2,FALSE)</f>
        <v>0</v>
      </c>
      <c r="B98">
        <v>96</v>
      </c>
      <c r="C98" t="s">
        <v>99</v>
      </c>
      <c r="D98" s="2">
        <v>0</v>
      </c>
      <c r="E98" s="1" t="str">
        <f>VLOOKUP(D98,定義!$A$2:$D$4,4,FALSE)</f>
        <v>無_物理</v>
      </c>
      <c r="F98">
        <v>0</v>
      </c>
      <c r="G98" s="1" t="str">
        <f>VLOOKUP(F98,定義!$A$2:$C$4,2,FALSE)</f>
        <v>ダメージ</v>
      </c>
      <c r="H98">
        <v>0</v>
      </c>
      <c r="I98" s="1" t="str">
        <f>VLOOKUP(H98,定義!$A$2:$C$4,3,FALSE)</f>
        <v>敵</v>
      </c>
      <c r="J98">
        <v>100</v>
      </c>
      <c r="K98" s="2">
        <v>1000</v>
      </c>
      <c r="L98" s="1">
        <f t="shared" si="2"/>
        <v>100</v>
      </c>
    </row>
    <row r="99" spans="1:12">
      <c r="A99" s="1">
        <f>VLOOKUP(B99,[1]SkillName!$A:$B,2,FALSE)</f>
        <v>0</v>
      </c>
      <c r="B99">
        <v>97</v>
      </c>
      <c r="C99" t="s">
        <v>100</v>
      </c>
      <c r="D99" s="2">
        <v>0</v>
      </c>
      <c r="E99" s="1" t="str">
        <f>VLOOKUP(D99,定義!$A$2:$D$4,4,FALSE)</f>
        <v>無_物理</v>
      </c>
      <c r="F99">
        <v>0</v>
      </c>
      <c r="G99" s="1" t="str">
        <f>VLOOKUP(F99,定義!$A$2:$C$4,2,FALSE)</f>
        <v>ダメージ</v>
      </c>
      <c r="H99">
        <v>0</v>
      </c>
      <c r="I99" s="1" t="str">
        <f>VLOOKUP(H99,定義!$A$2:$C$4,3,FALSE)</f>
        <v>敵</v>
      </c>
      <c r="J99">
        <v>100</v>
      </c>
      <c r="K99" s="2">
        <v>1000</v>
      </c>
      <c r="L99" s="1">
        <f t="shared" si="2"/>
        <v>100</v>
      </c>
    </row>
    <row r="100" spans="1:12">
      <c r="A100" s="1">
        <f>VLOOKUP(B100,[1]SkillName!$A:$B,2,FALSE)</f>
        <v>0</v>
      </c>
      <c r="B100">
        <v>98</v>
      </c>
      <c r="C100" t="s">
        <v>101</v>
      </c>
      <c r="D100" s="2">
        <v>0</v>
      </c>
      <c r="E100" s="1" t="str">
        <f>VLOOKUP(D100,定義!$A$2:$D$4,4,FALSE)</f>
        <v>無_物理</v>
      </c>
      <c r="F100">
        <v>0</v>
      </c>
      <c r="G100" s="1" t="str">
        <f>VLOOKUP(F100,定義!$A$2:$C$4,2,FALSE)</f>
        <v>ダメージ</v>
      </c>
      <c r="H100">
        <v>0</v>
      </c>
      <c r="I100" s="1" t="str">
        <f>VLOOKUP(H100,定義!$A$2:$C$4,3,FALSE)</f>
        <v>敵</v>
      </c>
      <c r="J100">
        <v>100</v>
      </c>
      <c r="K100" s="2">
        <v>1000</v>
      </c>
      <c r="L100" s="1">
        <f t="shared" si="2"/>
        <v>100</v>
      </c>
    </row>
    <row r="101" spans="1:12">
      <c r="A101" s="1">
        <f>VLOOKUP(B101,[1]SkillName!$A:$B,2,FALSE)</f>
        <v>0</v>
      </c>
      <c r="B101">
        <v>99</v>
      </c>
      <c r="C101" t="s">
        <v>102</v>
      </c>
      <c r="D101" s="2">
        <v>0</v>
      </c>
      <c r="E101" s="1" t="str">
        <f>VLOOKUP(D101,定義!$A$2:$D$4,4,FALSE)</f>
        <v>無_物理</v>
      </c>
      <c r="F101">
        <v>0</v>
      </c>
      <c r="G101" s="1" t="str">
        <f>VLOOKUP(F101,定義!$A$2:$C$4,2,FALSE)</f>
        <v>ダメージ</v>
      </c>
      <c r="H101">
        <v>0</v>
      </c>
      <c r="I101" s="1" t="str">
        <f>VLOOKUP(H101,定義!$A$2:$C$4,3,FALSE)</f>
        <v>敵</v>
      </c>
      <c r="J101">
        <v>100</v>
      </c>
      <c r="K101" s="2">
        <v>1000</v>
      </c>
      <c r="L101" s="1">
        <f t="shared" si="2"/>
        <v>100</v>
      </c>
    </row>
    <row r="102" spans="1:12">
      <c r="A102" s="1">
        <f>VLOOKUP(B102,[1]SkillName!$A:$B,2,FALSE)</f>
        <v>0</v>
      </c>
      <c r="B102">
        <v>100</v>
      </c>
      <c r="C102" t="s">
        <v>103</v>
      </c>
      <c r="D102" s="2">
        <v>0</v>
      </c>
      <c r="E102" s="1" t="str">
        <f>VLOOKUP(D102,定義!$A$2:$D$4,4,FALSE)</f>
        <v>無_物理</v>
      </c>
      <c r="F102">
        <v>0</v>
      </c>
      <c r="G102" s="1" t="str">
        <f>VLOOKUP(F102,定義!$A$2:$C$4,2,FALSE)</f>
        <v>ダメージ</v>
      </c>
      <c r="H102">
        <v>0</v>
      </c>
      <c r="I102" s="1" t="str">
        <f>VLOOKUP(H102,定義!$A$2:$C$4,3,FALSE)</f>
        <v>敵</v>
      </c>
      <c r="J102">
        <v>100</v>
      </c>
      <c r="K102" s="2">
        <v>1000</v>
      </c>
      <c r="L102" s="1">
        <f t="shared" si="2"/>
        <v>100</v>
      </c>
    </row>
    <row r="103" spans="1:12">
      <c r="A103" s="1">
        <f>VLOOKUP(B103,[1]SkillName!$A:$B,2,FALSE)</f>
        <v>0</v>
      </c>
      <c r="B103">
        <v>101</v>
      </c>
      <c r="C103" t="s">
        <v>104</v>
      </c>
      <c r="D103" s="2">
        <v>0</v>
      </c>
      <c r="E103" s="1" t="str">
        <f>VLOOKUP(D103,定義!$A$2:$D$4,4,FALSE)</f>
        <v>無_物理</v>
      </c>
      <c r="F103">
        <v>0</v>
      </c>
      <c r="G103" s="1" t="str">
        <f>VLOOKUP(F103,定義!$A$2:$C$4,2,FALSE)</f>
        <v>ダメージ</v>
      </c>
      <c r="H103">
        <v>0</v>
      </c>
      <c r="I103" s="1" t="str">
        <f>VLOOKUP(H103,定義!$A$2:$C$4,3,FALSE)</f>
        <v>敵</v>
      </c>
      <c r="J103">
        <v>100</v>
      </c>
      <c r="K103" s="2">
        <v>1000</v>
      </c>
      <c r="L103" s="1">
        <f t="shared" si="2"/>
        <v>100</v>
      </c>
    </row>
    <row r="104" spans="1:12">
      <c r="A104" s="1">
        <f>VLOOKUP(B104,[1]SkillName!$A:$B,2,FALSE)</f>
        <v>0</v>
      </c>
      <c r="B104">
        <v>102</v>
      </c>
      <c r="C104" t="s">
        <v>105</v>
      </c>
      <c r="D104" s="2">
        <v>0</v>
      </c>
      <c r="E104" s="1" t="str">
        <f>VLOOKUP(D104,定義!$A$2:$D$4,4,FALSE)</f>
        <v>無_物理</v>
      </c>
      <c r="F104">
        <v>0</v>
      </c>
      <c r="G104" s="1" t="str">
        <f>VLOOKUP(F104,定義!$A$2:$C$4,2,FALSE)</f>
        <v>ダメージ</v>
      </c>
      <c r="H104">
        <v>0</v>
      </c>
      <c r="I104" s="1" t="str">
        <f>VLOOKUP(H104,定義!$A$2:$C$4,3,FALSE)</f>
        <v>敵</v>
      </c>
      <c r="J104">
        <v>100</v>
      </c>
      <c r="K104" s="2">
        <v>1000</v>
      </c>
      <c r="L104" s="1">
        <f t="shared" si="2"/>
        <v>100</v>
      </c>
    </row>
    <row r="105" spans="1:12">
      <c r="A105" s="1">
        <f>VLOOKUP(B105,[1]SkillName!$A:$B,2,FALSE)</f>
        <v>0</v>
      </c>
      <c r="B105">
        <v>103</v>
      </c>
      <c r="C105" t="s">
        <v>106</v>
      </c>
      <c r="D105" s="2">
        <v>0</v>
      </c>
      <c r="E105" s="1" t="str">
        <f>VLOOKUP(D105,定義!$A$2:$D$4,4,FALSE)</f>
        <v>無_物理</v>
      </c>
      <c r="F105">
        <v>0</v>
      </c>
      <c r="G105" s="1" t="str">
        <f>VLOOKUP(F105,定義!$A$2:$C$4,2,FALSE)</f>
        <v>ダメージ</v>
      </c>
      <c r="H105">
        <v>0</v>
      </c>
      <c r="I105" s="1" t="str">
        <f>VLOOKUP(H105,定義!$A$2:$C$4,3,FALSE)</f>
        <v>敵</v>
      </c>
      <c r="J105">
        <v>100</v>
      </c>
      <c r="K105" s="2">
        <v>1000</v>
      </c>
      <c r="L105" s="1">
        <f t="shared" si="2"/>
        <v>100</v>
      </c>
    </row>
    <row r="106" spans="1:12">
      <c r="A106" s="1">
        <f>VLOOKUP(B106,[1]SkillName!$A:$B,2,FALSE)</f>
        <v>0</v>
      </c>
      <c r="B106">
        <v>104</v>
      </c>
      <c r="C106" t="s">
        <v>107</v>
      </c>
      <c r="D106" s="2">
        <v>0</v>
      </c>
      <c r="E106" s="1" t="str">
        <f>VLOOKUP(D106,定義!$A$2:$D$4,4,FALSE)</f>
        <v>無_物理</v>
      </c>
      <c r="F106">
        <v>0</v>
      </c>
      <c r="G106" s="1" t="str">
        <f>VLOOKUP(F106,定義!$A$2:$C$4,2,FALSE)</f>
        <v>ダメージ</v>
      </c>
      <c r="H106">
        <v>0</v>
      </c>
      <c r="I106" s="1" t="str">
        <f>VLOOKUP(H106,定義!$A$2:$C$4,3,FALSE)</f>
        <v>敵</v>
      </c>
      <c r="J106">
        <v>100</v>
      </c>
      <c r="K106" s="2">
        <v>1000</v>
      </c>
      <c r="L106" s="1">
        <f t="shared" si="2"/>
        <v>100</v>
      </c>
    </row>
    <row r="107" spans="1:12">
      <c r="A107" s="1">
        <f>VLOOKUP(B107,[1]SkillName!$A:$B,2,FALSE)</f>
        <v>0</v>
      </c>
      <c r="B107">
        <v>105</v>
      </c>
      <c r="C107" t="s">
        <v>108</v>
      </c>
      <c r="D107" s="2">
        <v>0</v>
      </c>
      <c r="E107" s="1" t="str">
        <f>VLOOKUP(D107,定義!$A$2:$D$4,4,FALSE)</f>
        <v>無_物理</v>
      </c>
      <c r="F107">
        <v>0</v>
      </c>
      <c r="G107" s="1" t="str">
        <f>VLOOKUP(F107,定義!$A$2:$C$4,2,FALSE)</f>
        <v>ダメージ</v>
      </c>
      <c r="H107">
        <v>0</v>
      </c>
      <c r="I107" s="1" t="str">
        <f>VLOOKUP(H107,定義!$A$2:$C$4,3,FALSE)</f>
        <v>敵</v>
      </c>
      <c r="J107">
        <v>100</v>
      </c>
      <c r="K107" s="2">
        <v>1000</v>
      </c>
      <c r="L107" s="1">
        <f t="shared" si="2"/>
        <v>100</v>
      </c>
    </row>
    <row r="108" spans="1:12">
      <c r="A108" s="1">
        <f>VLOOKUP(B108,[1]SkillName!$A:$B,2,FALSE)</f>
        <v>0</v>
      </c>
      <c r="B108">
        <v>106</v>
      </c>
      <c r="C108" t="s">
        <v>109</v>
      </c>
      <c r="D108" s="2">
        <v>0</v>
      </c>
      <c r="E108" s="1" t="str">
        <f>VLOOKUP(D108,定義!$A$2:$D$4,4,FALSE)</f>
        <v>無_物理</v>
      </c>
      <c r="F108">
        <v>0</v>
      </c>
      <c r="G108" s="1" t="str">
        <f>VLOOKUP(F108,定義!$A$2:$C$4,2,FALSE)</f>
        <v>ダメージ</v>
      </c>
      <c r="H108">
        <v>0</v>
      </c>
      <c r="I108" s="1" t="str">
        <f>VLOOKUP(H108,定義!$A$2:$C$4,3,FALSE)</f>
        <v>敵</v>
      </c>
      <c r="J108">
        <v>100</v>
      </c>
      <c r="K108" s="2">
        <v>1000</v>
      </c>
      <c r="L108" s="1">
        <f t="shared" si="2"/>
        <v>100</v>
      </c>
    </row>
    <row r="109" spans="1:12">
      <c r="A109" s="1">
        <f>VLOOKUP(B109,[1]SkillName!$A:$B,2,FALSE)</f>
        <v>0</v>
      </c>
      <c r="B109">
        <v>107</v>
      </c>
      <c r="C109" t="s">
        <v>110</v>
      </c>
      <c r="D109" s="2">
        <v>0</v>
      </c>
      <c r="E109" s="1" t="str">
        <f>VLOOKUP(D109,定義!$A$2:$D$4,4,FALSE)</f>
        <v>無_物理</v>
      </c>
      <c r="F109">
        <v>0</v>
      </c>
      <c r="G109" s="1" t="str">
        <f>VLOOKUP(F109,定義!$A$2:$C$4,2,FALSE)</f>
        <v>ダメージ</v>
      </c>
      <c r="H109">
        <v>0</v>
      </c>
      <c r="I109" s="1" t="str">
        <f>VLOOKUP(H109,定義!$A$2:$C$4,3,FALSE)</f>
        <v>敵</v>
      </c>
      <c r="J109">
        <v>100</v>
      </c>
      <c r="K109" s="2">
        <v>1000</v>
      </c>
      <c r="L109" s="1">
        <f t="shared" si="2"/>
        <v>100</v>
      </c>
    </row>
    <row r="110" spans="1:12">
      <c r="A110" s="1">
        <f>VLOOKUP(B110,[1]SkillName!$A:$B,2,FALSE)</f>
        <v>0</v>
      </c>
      <c r="B110">
        <v>108</v>
      </c>
      <c r="C110" t="s">
        <v>111</v>
      </c>
      <c r="D110" s="2">
        <v>0</v>
      </c>
      <c r="E110" s="1" t="str">
        <f>VLOOKUP(D110,定義!$A$2:$D$4,4,FALSE)</f>
        <v>無_物理</v>
      </c>
      <c r="F110">
        <v>0</v>
      </c>
      <c r="G110" s="1" t="str">
        <f>VLOOKUP(F110,定義!$A$2:$C$4,2,FALSE)</f>
        <v>ダメージ</v>
      </c>
      <c r="H110">
        <v>0</v>
      </c>
      <c r="I110" s="1" t="str">
        <f>VLOOKUP(H110,定義!$A$2:$C$4,3,FALSE)</f>
        <v>敵</v>
      </c>
      <c r="J110">
        <v>100</v>
      </c>
      <c r="K110" s="2">
        <v>1000</v>
      </c>
      <c r="L110" s="1">
        <f t="shared" si="2"/>
        <v>100</v>
      </c>
    </row>
    <row r="111" spans="1:12">
      <c r="A111" s="1">
        <f>VLOOKUP(B111,[1]SkillName!$A:$B,2,FALSE)</f>
        <v>0</v>
      </c>
      <c r="B111">
        <v>109</v>
      </c>
      <c r="C111" t="s">
        <v>112</v>
      </c>
      <c r="D111" s="2">
        <v>0</v>
      </c>
      <c r="E111" s="1" t="str">
        <f>VLOOKUP(D111,定義!$A$2:$D$4,4,FALSE)</f>
        <v>無_物理</v>
      </c>
      <c r="F111">
        <v>0</v>
      </c>
      <c r="G111" s="1" t="str">
        <f>VLOOKUP(F111,定義!$A$2:$C$4,2,FALSE)</f>
        <v>ダメージ</v>
      </c>
      <c r="H111">
        <v>0</v>
      </c>
      <c r="I111" s="1" t="str">
        <f>VLOOKUP(H111,定義!$A$2:$C$4,3,FALSE)</f>
        <v>敵</v>
      </c>
      <c r="J111">
        <v>100</v>
      </c>
      <c r="K111" s="2">
        <v>1000</v>
      </c>
      <c r="L111" s="1">
        <f t="shared" si="2"/>
        <v>100</v>
      </c>
    </row>
    <row r="112" spans="1:12">
      <c r="A112" s="1">
        <f>VLOOKUP(B112,[1]SkillName!$A:$B,2,FALSE)</f>
        <v>0</v>
      </c>
      <c r="B112">
        <v>110</v>
      </c>
      <c r="C112" t="s">
        <v>113</v>
      </c>
      <c r="D112" s="2">
        <v>0</v>
      </c>
      <c r="E112" s="1" t="str">
        <f>VLOOKUP(D112,定義!$A$2:$D$4,4,FALSE)</f>
        <v>無_物理</v>
      </c>
      <c r="F112">
        <v>0</v>
      </c>
      <c r="G112" s="1" t="str">
        <f>VLOOKUP(F112,定義!$A$2:$C$4,2,FALSE)</f>
        <v>ダメージ</v>
      </c>
      <c r="H112">
        <v>0</v>
      </c>
      <c r="I112" s="1" t="str">
        <f>VLOOKUP(H112,定義!$A$2:$C$4,3,FALSE)</f>
        <v>敵</v>
      </c>
      <c r="J112">
        <v>100</v>
      </c>
      <c r="K112" s="2">
        <v>1000</v>
      </c>
      <c r="L112" s="1">
        <f t="shared" si="2"/>
        <v>100</v>
      </c>
    </row>
    <row r="113" spans="1:12">
      <c r="A113" s="1">
        <f>VLOOKUP(B113,[1]SkillName!$A:$B,2,FALSE)</f>
        <v>0</v>
      </c>
      <c r="B113">
        <v>111</v>
      </c>
      <c r="C113" t="s">
        <v>114</v>
      </c>
      <c r="D113" s="2">
        <v>0</v>
      </c>
      <c r="E113" s="1" t="str">
        <f>VLOOKUP(D113,定義!$A$2:$D$4,4,FALSE)</f>
        <v>無_物理</v>
      </c>
      <c r="F113">
        <v>0</v>
      </c>
      <c r="G113" s="1" t="str">
        <f>VLOOKUP(F113,定義!$A$2:$C$4,2,FALSE)</f>
        <v>ダメージ</v>
      </c>
      <c r="H113">
        <v>0</v>
      </c>
      <c r="I113" s="1" t="str">
        <f>VLOOKUP(H113,定義!$A$2:$C$4,3,FALSE)</f>
        <v>敵</v>
      </c>
      <c r="J113">
        <v>100</v>
      </c>
      <c r="K113" s="2">
        <v>1000</v>
      </c>
      <c r="L113" s="1">
        <f t="shared" si="2"/>
        <v>100</v>
      </c>
    </row>
    <row r="114" spans="1:12">
      <c r="A114" s="1">
        <f>VLOOKUP(B114,[1]SkillName!$A:$B,2,FALSE)</f>
        <v>0</v>
      </c>
      <c r="B114">
        <v>112</v>
      </c>
      <c r="C114" t="s">
        <v>115</v>
      </c>
      <c r="D114" s="2">
        <v>0</v>
      </c>
      <c r="E114" s="1" t="str">
        <f>VLOOKUP(D114,定義!$A$2:$D$4,4,FALSE)</f>
        <v>無_物理</v>
      </c>
      <c r="F114">
        <v>0</v>
      </c>
      <c r="G114" s="1" t="str">
        <f>VLOOKUP(F114,定義!$A$2:$C$4,2,FALSE)</f>
        <v>ダメージ</v>
      </c>
      <c r="H114">
        <v>0</v>
      </c>
      <c r="I114" s="1" t="str">
        <f>VLOOKUP(H114,定義!$A$2:$C$4,3,FALSE)</f>
        <v>敵</v>
      </c>
      <c r="J114">
        <v>100</v>
      </c>
      <c r="K114" s="2">
        <v>1000</v>
      </c>
      <c r="L114" s="1">
        <f t="shared" si="2"/>
        <v>100</v>
      </c>
    </row>
    <row r="115" spans="1:12">
      <c r="A115" s="1">
        <f>VLOOKUP(B115,[1]SkillName!$A:$B,2,FALSE)</f>
        <v>0</v>
      </c>
      <c r="B115">
        <v>113</v>
      </c>
      <c r="C115" t="s">
        <v>116</v>
      </c>
      <c r="D115" s="2">
        <v>0</v>
      </c>
      <c r="E115" s="1" t="str">
        <f>VLOOKUP(D115,定義!$A$2:$D$4,4,FALSE)</f>
        <v>無_物理</v>
      </c>
      <c r="F115">
        <v>0</v>
      </c>
      <c r="G115" s="1" t="str">
        <f>VLOOKUP(F115,定義!$A$2:$C$4,2,FALSE)</f>
        <v>ダメージ</v>
      </c>
      <c r="H115">
        <v>0</v>
      </c>
      <c r="I115" s="1" t="str">
        <f>VLOOKUP(H115,定義!$A$2:$C$4,3,FALSE)</f>
        <v>敵</v>
      </c>
      <c r="J115">
        <v>100</v>
      </c>
      <c r="K115" s="2">
        <v>1000</v>
      </c>
      <c r="L115" s="1">
        <f t="shared" si="2"/>
        <v>100</v>
      </c>
    </row>
    <row r="116" spans="1:12">
      <c r="A116" s="1">
        <f>VLOOKUP(B116,[1]SkillName!$A:$B,2,FALSE)</f>
        <v>0</v>
      </c>
      <c r="B116">
        <v>114</v>
      </c>
      <c r="C116" t="s">
        <v>117</v>
      </c>
      <c r="D116" s="2">
        <v>0</v>
      </c>
      <c r="E116" s="1" t="str">
        <f>VLOOKUP(D116,定義!$A$2:$D$4,4,FALSE)</f>
        <v>無_物理</v>
      </c>
      <c r="F116">
        <v>0</v>
      </c>
      <c r="G116" s="1" t="str">
        <f>VLOOKUP(F116,定義!$A$2:$C$4,2,FALSE)</f>
        <v>ダメージ</v>
      </c>
      <c r="H116">
        <v>0</v>
      </c>
      <c r="I116" s="1" t="str">
        <f>VLOOKUP(H116,定義!$A$2:$C$4,3,FALSE)</f>
        <v>敵</v>
      </c>
      <c r="J116">
        <v>100</v>
      </c>
      <c r="K116" s="2">
        <v>1000</v>
      </c>
      <c r="L116" s="1">
        <f t="shared" si="2"/>
        <v>100</v>
      </c>
    </row>
    <row r="117" spans="1:12">
      <c r="A117" s="1">
        <f>VLOOKUP(B117,[1]SkillName!$A:$B,2,FALSE)</f>
        <v>0</v>
      </c>
      <c r="B117">
        <v>115</v>
      </c>
      <c r="C117" t="s">
        <v>118</v>
      </c>
      <c r="D117" s="2">
        <v>0</v>
      </c>
      <c r="E117" s="1" t="str">
        <f>VLOOKUP(D117,定義!$A$2:$D$4,4,FALSE)</f>
        <v>無_物理</v>
      </c>
      <c r="F117">
        <v>0</v>
      </c>
      <c r="G117" s="1" t="str">
        <f>VLOOKUP(F117,定義!$A$2:$C$4,2,FALSE)</f>
        <v>ダメージ</v>
      </c>
      <c r="H117">
        <v>0</v>
      </c>
      <c r="I117" s="1" t="str">
        <f>VLOOKUP(H117,定義!$A$2:$C$4,3,FALSE)</f>
        <v>敵</v>
      </c>
      <c r="J117">
        <v>100</v>
      </c>
      <c r="K117" s="2">
        <v>1000</v>
      </c>
      <c r="L117" s="1">
        <f t="shared" si="2"/>
        <v>100</v>
      </c>
    </row>
    <row r="118" spans="1:12">
      <c r="A118" s="1">
        <f>VLOOKUP(B118,[1]SkillName!$A:$B,2,FALSE)</f>
        <v>0</v>
      </c>
      <c r="B118">
        <v>116</v>
      </c>
      <c r="C118" t="s">
        <v>119</v>
      </c>
      <c r="D118" s="2">
        <v>0</v>
      </c>
      <c r="E118" s="1" t="str">
        <f>VLOOKUP(D118,定義!$A$2:$D$4,4,FALSE)</f>
        <v>無_物理</v>
      </c>
      <c r="F118">
        <v>0</v>
      </c>
      <c r="G118" s="1" t="str">
        <f>VLOOKUP(F118,定義!$A$2:$C$4,2,FALSE)</f>
        <v>ダメージ</v>
      </c>
      <c r="H118">
        <v>0</v>
      </c>
      <c r="I118" s="1" t="str">
        <f>VLOOKUP(H118,定義!$A$2:$C$4,3,FALSE)</f>
        <v>敵</v>
      </c>
      <c r="J118">
        <v>100</v>
      </c>
      <c r="K118" s="2">
        <v>1000</v>
      </c>
      <c r="L118" s="1">
        <f t="shared" si="2"/>
        <v>100</v>
      </c>
    </row>
    <row r="119" spans="1:12">
      <c r="A119" s="1">
        <f>VLOOKUP(B119,[1]SkillName!$A:$B,2,FALSE)</f>
        <v>0</v>
      </c>
      <c r="B119">
        <v>117</v>
      </c>
      <c r="C119" t="s">
        <v>120</v>
      </c>
      <c r="D119" s="2">
        <v>0</v>
      </c>
      <c r="E119" s="1" t="str">
        <f>VLOOKUP(D119,定義!$A$2:$D$4,4,FALSE)</f>
        <v>無_物理</v>
      </c>
      <c r="F119">
        <v>0</v>
      </c>
      <c r="G119" s="1" t="str">
        <f>VLOOKUP(F119,定義!$A$2:$C$4,2,FALSE)</f>
        <v>ダメージ</v>
      </c>
      <c r="H119">
        <v>0</v>
      </c>
      <c r="I119" s="1" t="str">
        <f>VLOOKUP(H119,定義!$A$2:$C$4,3,FALSE)</f>
        <v>敵</v>
      </c>
      <c r="J119">
        <v>100</v>
      </c>
      <c r="K119" s="2">
        <v>1000</v>
      </c>
      <c r="L119" s="1">
        <f t="shared" si="2"/>
        <v>100</v>
      </c>
    </row>
    <row r="120" spans="1:12">
      <c r="A120" s="1">
        <f>VLOOKUP(B120,[1]SkillName!$A:$B,2,FALSE)</f>
        <v>0</v>
      </c>
      <c r="B120">
        <v>118</v>
      </c>
      <c r="C120" t="s">
        <v>121</v>
      </c>
      <c r="D120" s="2">
        <v>0</v>
      </c>
      <c r="E120" s="1" t="str">
        <f>VLOOKUP(D120,定義!$A$2:$D$4,4,FALSE)</f>
        <v>無_物理</v>
      </c>
      <c r="F120">
        <v>0</v>
      </c>
      <c r="G120" s="1" t="str">
        <f>VLOOKUP(F120,定義!$A$2:$C$4,2,FALSE)</f>
        <v>ダメージ</v>
      </c>
      <c r="H120">
        <v>0</v>
      </c>
      <c r="I120" s="1" t="str">
        <f>VLOOKUP(H120,定義!$A$2:$C$4,3,FALSE)</f>
        <v>敵</v>
      </c>
      <c r="J120">
        <v>100</v>
      </c>
      <c r="K120" s="2">
        <v>1000</v>
      </c>
      <c r="L120" s="1">
        <f t="shared" si="2"/>
        <v>100</v>
      </c>
    </row>
    <row r="121" spans="1:12">
      <c r="A121" s="1">
        <f>VLOOKUP(B121,[1]SkillName!$A:$B,2,FALSE)</f>
        <v>0</v>
      </c>
      <c r="B121">
        <v>119</v>
      </c>
      <c r="C121" t="s">
        <v>122</v>
      </c>
      <c r="D121" s="2">
        <v>0</v>
      </c>
      <c r="E121" s="1" t="str">
        <f>VLOOKUP(D121,定義!$A$2:$D$4,4,FALSE)</f>
        <v>無_物理</v>
      </c>
      <c r="F121">
        <v>0</v>
      </c>
      <c r="G121" s="1" t="str">
        <f>VLOOKUP(F121,定義!$A$2:$C$4,2,FALSE)</f>
        <v>ダメージ</v>
      </c>
      <c r="H121">
        <v>0</v>
      </c>
      <c r="I121" s="1" t="str">
        <f>VLOOKUP(H121,定義!$A$2:$C$4,3,FALSE)</f>
        <v>敵</v>
      </c>
      <c r="J121">
        <v>100</v>
      </c>
      <c r="K121" s="2">
        <v>1000</v>
      </c>
      <c r="L121" s="1">
        <f t="shared" si="2"/>
        <v>100</v>
      </c>
    </row>
    <row r="122" spans="1:12">
      <c r="A122" s="1">
        <f>VLOOKUP(B122,[1]SkillName!$A:$B,2,FALSE)</f>
        <v>0</v>
      </c>
      <c r="B122">
        <v>120</v>
      </c>
      <c r="C122" t="s">
        <v>123</v>
      </c>
      <c r="D122" s="2">
        <v>0</v>
      </c>
      <c r="E122" s="1" t="str">
        <f>VLOOKUP(D122,定義!$A$2:$D$4,4,FALSE)</f>
        <v>無_物理</v>
      </c>
      <c r="F122">
        <v>0</v>
      </c>
      <c r="G122" s="1" t="str">
        <f>VLOOKUP(F122,定義!$A$2:$C$4,2,FALSE)</f>
        <v>ダメージ</v>
      </c>
      <c r="H122">
        <v>0</v>
      </c>
      <c r="I122" s="1" t="str">
        <f>VLOOKUP(H122,定義!$A$2:$C$4,3,FALSE)</f>
        <v>敵</v>
      </c>
      <c r="J122">
        <v>100</v>
      </c>
      <c r="K122" s="2">
        <v>1000</v>
      </c>
      <c r="L122" s="1">
        <f t="shared" si="2"/>
        <v>100</v>
      </c>
    </row>
    <row r="123" spans="1:12">
      <c r="A123" s="1">
        <f>VLOOKUP(B123,[1]SkillName!$A:$B,2,FALSE)</f>
        <v>0</v>
      </c>
      <c r="B123">
        <v>121</v>
      </c>
      <c r="C123" t="s">
        <v>124</v>
      </c>
      <c r="D123" s="2">
        <v>0</v>
      </c>
      <c r="E123" s="1" t="str">
        <f>VLOOKUP(D123,定義!$A$2:$D$4,4,FALSE)</f>
        <v>無_物理</v>
      </c>
      <c r="F123">
        <v>0</v>
      </c>
      <c r="G123" s="1" t="str">
        <f>VLOOKUP(F123,定義!$A$2:$C$4,2,FALSE)</f>
        <v>ダメージ</v>
      </c>
      <c r="H123">
        <v>0</v>
      </c>
      <c r="I123" s="1" t="str">
        <f>VLOOKUP(H123,定義!$A$2:$C$4,3,FALSE)</f>
        <v>敵</v>
      </c>
      <c r="J123">
        <v>100</v>
      </c>
      <c r="K123" s="2">
        <v>1000</v>
      </c>
      <c r="L123" s="1">
        <f t="shared" si="2"/>
        <v>100</v>
      </c>
    </row>
    <row r="124" spans="1:12">
      <c r="A124" s="1">
        <f>VLOOKUP(B124,[1]SkillName!$A:$B,2,FALSE)</f>
        <v>0</v>
      </c>
      <c r="B124">
        <v>122</v>
      </c>
      <c r="C124" t="s">
        <v>125</v>
      </c>
      <c r="D124" s="2">
        <v>0</v>
      </c>
      <c r="E124" s="1" t="str">
        <f>VLOOKUP(D124,定義!$A$2:$D$4,4,FALSE)</f>
        <v>無_物理</v>
      </c>
      <c r="F124">
        <v>0</v>
      </c>
      <c r="G124" s="1" t="str">
        <f>VLOOKUP(F124,定義!$A$2:$C$4,2,FALSE)</f>
        <v>ダメージ</v>
      </c>
      <c r="H124">
        <v>0</v>
      </c>
      <c r="I124" s="1" t="str">
        <f>VLOOKUP(H124,定義!$A$2:$C$4,3,FALSE)</f>
        <v>敵</v>
      </c>
      <c r="J124">
        <v>100</v>
      </c>
      <c r="K124" s="2">
        <v>1000</v>
      </c>
      <c r="L124" s="1">
        <f t="shared" si="2"/>
        <v>100</v>
      </c>
    </row>
    <row r="125" spans="1:12">
      <c r="A125" s="1">
        <f>VLOOKUP(B125,[1]SkillName!$A:$B,2,FALSE)</f>
        <v>0</v>
      </c>
      <c r="B125">
        <v>123</v>
      </c>
      <c r="C125" t="s">
        <v>126</v>
      </c>
      <c r="D125" s="2">
        <v>0</v>
      </c>
      <c r="E125" s="1" t="str">
        <f>VLOOKUP(D125,定義!$A$2:$D$4,4,FALSE)</f>
        <v>無_物理</v>
      </c>
      <c r="F125">
        <v>0</v>
      </c>
      <c r="G125" s="1" t="str">
        <f>VLOOKUP(F125,定義!$A$2:$C$4,2,FALSE)</f>
        <v>ダメージ</v>
      </c>
      <c r="H125">
        <v>0</v>
      </c>
      <c r="I125" s="1" t="str">
        <f>VLOOKUP(H125,定義!$A$2:$C$4,3,FALSE)</f>
        <v>敵</v>
      </c>
      <c r="J125">
        <v>100</v>
      </c>
      <c r="K125" s="2">
        <v>1000</v>
      </c>
      <c r="L125" s="1">
        <f t="shared" si="2"/>
        <v>100</v>
      </c>
    </row>
    <row r="126" spans="1:12">
      <c r="A126" s="1">
        <f>VLOOKUP(B126,[1]SkillName!$A:$B,2,FALSE)</f>
        <v>0</v>
      </c>
      <c r="B126">
        <v>124</v>
      </c>
      <c r="C126" t="s">
        <v>127</v>
      </c>
      <c r="D126" s="2">
        <v>0</v>
      </c>
      <c r="E126" s="1" t="str">
        <f>VLOOKUP(D126,定義!$A$2:$D$4,4,FALSE)</f>
        <v>無_物理</v>
      </c>
      <c r="F126">
        <v>0</v>
      </c>
      <c r="G126" s="1" t="str">
        <f>VLOOKUP(F126,定義!$A$2:$C$4,2,FALSE)</f>
        <v>ダメージ</v>
      </c>
      <c r="H126">
        <v>0</v>
      </c>
      <c r="I126" s="1" t="str">
        <f>VLOOKUP(H126,定義!$A$2:$C$4,3,FALSE)</f>
        <v>敵</v>
      </c>
      <c r="J126">
        <v>100</v>
      </c>
      <c r="K126" s="2">
        <v>1000</v>
      </c>
      <c r="L126" s="1">
        <f t="shared" si="2"/>
        <v>100</v>
      </c>
    </row>
    <row r="127" spans="1:12">
      <c r="A127" s="1">
        <f>VLOOKUP(B127,[1]SkillName!$A:$B,2,FALSE)</f>
        <v>0</v>
      </c>
      <c r="B127">
        <v>125</v>
      </c>
      <c r="C127" t="s">
        <v>128</v>
      </c>
      <c r="D127" s="2">
        <v>0</v>
      </c>
      <c r="E127" s="1" t="str">
        <f>VLOOKUP(D127,定義!$A$2:$D$4,4,FALSE)</f>
        <v>無_物理</v>
      </c>
      <c r="F127">
        <v>0</v>
      </c>
      <c r="G127" s="1" t="str">
        <f>VLOOKUP(F127,定義!$A$2:$C$4,2,FALSE)</f>
        <v>ダメージ</v>
      </c>
      <c r="H127">
        <v>0</v>
      </c>
      <c r="I127" s="1" t="str">
        <f>VLOOKUP(H127,定義!$A$2:$C$4,3,FALSE)</f>
        <v>敵</v>
      </c>
      <c r="J127">
        <v>100</v>
      </c>
      <c r="K127" s="2">
        <v>1000</v>
      </c>
      <c r="L127" s="1">
        <f t="shared" si="2"/>
        <v>100</v>
      </c>
    </row>
    <row r="128" spans="1:12">
      <c r="A128" s="1">
        <f>VLOOKUP(B128,[1]SkillName!$A:$B,2,FALSE)</f>
        <v>0</v>
      </c>
      <c r="B128">
        <v>126</v>
      </c>
      <c r="C128" t="s">
        <v>129</v>
      </c>
      <c r="D128" s="2">
        <v>0</v>
      </c>
      <c r="E128" s="1" t="str">
        <f>VLOOKUP(D128,定義!$A$2:$D$4,4,FALSE)</f>
        <v>無_物理</v>
      </c>
      <c r="F128">
        <v>0</v>
      </c>
      <c r="G128" s="1" t="str">
        <f>VLOOKUP(F128,定義!$A$2:$C$4,2,FALSE)</f>
        <v>ダメージ</v>
      </c>
      <c r="H128">
        <v>0</v>
      </c>
      <c r="I128" s="1" t="str">
        <f>VLOOKUP(H128,定義!$A$2:$C$4,3,FALSE)</f>
        <v>敵</v>
      </c>
      <c r="J128">
        <v>100</v>
      </c>
      <c r="K128" s="2">
        <v>1000</v>
      </c>
      <c r="L128" s="1">
        <f t="shared" si="2"/>
        <v>100</v>
      </c>
    </row>
    <row r="129" spans="1:12">
      <c r="A129" s="1">
        <f>VLOOKUP(B129,[1]SkillName!$A:$B,2,FALSE)</f>
        <v>0</v>
      </c>
      <c r="B129">
        <v>127</v>
      </c>
      <c r="C129" t="s">
        <v>130</v>
      </c>
      <c r="D129" s="2">
        <v>0</v>
      </c>
      <c r="E129" s="1" t="str">
        <f>VLOOKUP(D129,定義!$A$2:$D$4,4,FALSE)</f>
        <v>無_物理</v>
      </c>
      <c r="F129">
        <v>0</v>
      </c>
      <c r="G129" s="1" t="str">
        <f>VLOOKUP(F129,定義!$A$2:$C$4,2,FALSE)</f>
        <v>ダメージ</v>
      </c>
      <c r="H129">
        <v>0</v>
      </c>
      <c r="I129" s="1" t="str">
        <f>VLOOKUP(H129,定義!$A$2:$C$4,3,FALSE)</f>
        <v>敵</v>
      </c>
      <c r="J129">
        <v>100</v>
      </c>
      <c r="K129" s="2">
        <v>1000</v>
      </c>
      <c r="L129" s="1">
        <f t="shared" si="2"/>
        <v>100</v>
      </c>
    </row>
    <row r="130" spans="1:12">
      <c r="A130" s="1">
        <f>VLOOKUP(B130,[1]SkillName!$A:$B,2,FALSE)</f>
        <v>0</v>
      </c>
      <c r="B130">
        <v>128</v>
      </c>
      <c r="C130" t="s">
        <v>131</v>
      </c>
      <c r="D130" s="2">
        <v>0</v>
      </c>
      <c r="E130" s="1" t="str">
        <f>VLOOKUP(D130,定義!$A$2:$D$4,4,FALSE)</f>
        <v>無_物理</v>
      </c>
      <c r="F130">
        <v>0</v>
      </c>
      <c r="G130" s="1" t="str">
        <f>VLOOKUP(F130,定義!$A$2:$C$4,2,FALSE)</f>
        <v>ダメージ</v>
      </c>
      <c r="H130">
        <v>0</v>
      </c>
      <c r="I130" s="1" t="str">
        <f>VLOOKUP(H130,定義!$A$2:$C$4,3,FALSE)</f>
        <v>敵</v>
      </c>
      <c r="J130">
        <v>100</v>
      </c>
      <c r="K130" s="2">
        <v>1000</v>
      </c>
      <c r="L130" s="1">
        <f t="shared" si="2"/>
        <v>100</v>
      </c>
    </row>
    <row r="131" spans="1:12">
      <c r="A131" s="1">
        <f>VLOOKUP(B131,[1]SkillName!$A:$B,2,FALSE)</f>
        <v>0</v>
      </c>
      <c r="B131">
        <v>129</v>
      </c>
      <c r="C131" t="s">
        <v>132</v>
      </c>
      <c r="D131" s="2">
        <v>0</v>
      </c>
      <c r="E131" s="1" t="str">
        <f>VLOOKUP(D131,定義!$A$2:$D$4,4,FALSE)</f>
        <v>無_物理</v>
      </c>
      <c r="F131">
        <v>0</v>
      </c>
      <c r="G131" s="1" t="str">
        <f>VLOOKUP(F131,定義!$A$2:$C$4,2,FALSE)</f>
        <v>ダメージ</v>
      </c>
      <c r="H131">
        <v>0</v>
      </c>
      <c r="I131" s="1" t="str">
        <f>VLOOKUP(H131,定義!$A$2:$C$4,3,FALSE)</f>
        <v>敵</v>
      </c>
      <c r="J131">
        <v>100</v>
      </c>
      <c r="K131" s="2">
        <v>1000</v>
      </c>
      <c r="L131" s="1">
        <f t="shared" si="2"/>
        <v>100</v>
      </c>
    </row>
    <row r="132" spans="1:12">
      <c r="A132" s="1">
        <f>VLOOKUP(B132,[1]SkillName!$A:$B,2,FALSE)</f>
        <v>0</v>
      </c>
      <c r="B132">
        <v>130</v>
      </c>
      <c r="C132" t="s">
        <v>133</v>
      </c>
      <c r="D132" s="2">
        <v>0</v>
      </c>
      <c r="E132" s="1" t="str">
        <f>VLOOKUP(D132,定義!$A$2:$D$4,4,FALSE)</f>
        <v>無_物理</v>
      </c>
      <c r="F132">
        <v>0</v>
      </c>
      <c r="G132" s="1" t="str">
        <f>VLOOKUP(F132,定義!$A$2:$C$4,2,FALSE)</f>
        <v>ダメージ</v>
      </c>
      <c r="H132">
        <v>0</v>
      </c>
      <c r="I132" s="1" t="str">
        <f>VLOOKUP(H132,定義!$A$2:$C$4,3,FALSE)</f>
        <v>敵</v>
      </c>
      <c r="J132">
        <v>100</v>
      </c>
      <c r="K132" s="2">
        <v>1000</v>
      </c>
      <c r="L132" s="1">
        <f t="shared" si="2"/>
        <v>100</v>
      </c>
    </row>
    <row r="133" spans="1:12">
      <c r="A133" s="1">
        <f>VLOOKUP(B133,[1]SkillName!$A:$B,2,FALSE)</f>
        <v>0</v>
      </c>
      <c r="B133">
        <v>131</v>
      </c>
      <c r="C133" t="s">
        <v>134</v>
      </c>
      <c r="D133" s="2">
        <v>0</v>
      </c>
      <c r="E133" s="1" t="str">
        <f>VLOOKUP(D133,定義!$A$2:$D$4,4,FALSE)</f>
        <v>無_物理</v>
      </c>
      <c r="F133">
        <v>0</v>
      </c>
      <c r="G133" s="1" t="str">
        <f>VLOOKUP(F133,定義!$A$2:$C$4,2,FALSE)</f>
        <v>ダメージ</v>
      </c>
      <c r="H133">
        <v>0</v>
      </c>
      <c r="I133" s="1" t="str">
        <f>VLOOKUP(H133,定義!$A$2:$C$4,3,FALSE)</f>
        <v>敵</v>
      </c>
      <c r="J133">
        <v>100</v>
      </c>
      <c r="K133" s="2">
        <v>1000</v>
      </c>
      <c r="L133" s="1">
        <f t="shared" si="2"/>
        <v>100</v>
      </c>
    </row>
    <row r="134" spans="1:12">
      <c r="A134" s="1">
        <f>VLOOKUP(B134,[1]SkillName!$A:$B,2,FALSE)</f>
        <v>0</v>
      </c>
      <c r="B134">
        <v>132</v>
      </c>
      <c r="C134" t="s">
        <v>135</v>
      </c>
      <c r="D134" s="2">
        <v>0</v>
      </c>
      <c r="E134" s="1" t="str">
        <f>VLOOKUP(D134,定義!$A$2:$D$4,4,FALSE)</f>
        <v>無_物理</v>
      </c>
      <c r="F134">
        <v>0</v>
      </c>
      <c r="G134" s="1" t="str">
        <f>VLOOKUP(F134,定義!$A$2:$C$4,2,FALSE)</f>
        <v>ダメージ</v>
      </c>
      <c r="H134">
        <v>0</v>
      </c>
      <c r="I134" s="1" t="str">
        <f>VLOOKUP(H134,定義!$A$2:$C$4,3,FALSE)</f>
        <v>敵</v>
      </c>
      <c r="J134">
        <v>100</v>
      </c>
      <c r="K134" s="2">
        <v>1000</v>
      </c>
      <c r="L134" s="1">
        <f t="shared" ref="L134:L197" si="3">J134*1000/K134</f>
        <v>100</v>
      </c>
    </row>
    <row r="135" spans="1:12">
      <c r="A135" s="1">
        <f>VLOOKUP(B135,[1]SkillName!$A:$B,2,FALSE)</f>
        <v>0</v>
      </c>
      <c r="B135">
        <v>133</v>
      </c>
      <c r="C135" t="s">
        <v>136</v>
      </c>
      <c r="D135" s="2">
        <v>0</v>
      </c>
      <c r="E135" s="1" t="str">
        <f>VLOOKUP(D135,定義!$A$2:$D$4,4,FALSE)</f>
        <v>無_物理</v>
      </c>
      <c r="F135">
        <v>0</v>
      </c>
      <c r="G135" s="1" t="str">
        <f>VLOOKUP(F135,定義!$A$2:$C$4,2,FALSE)</f>
        <v>ダメージ</v>
      </c>
      <c r="H135">
        <v>0</v>
      </c>
      <c r="I135" s="1" t="str">
        <f>VLOOKUP(H135,定義!$A$2:$C$4,3,FALSE)</f>
        <v>敵</v>
      </c>
      <c r="J135">
        <v>100</v>
      </c>
      <c r="K135" s="2">
        <v>1000</v>
      </c>
      <c r="L135" s="1">
        <f t="shared" si="3"/>
        <v>100</v>
      </c>
    </row>
    <row r="136" spans="1:12">
      <c r="A136" s="1">
        <f>VLOOKUP(B136,[1]SkillName!$A:$B,2,FALSE)</f>
        <v>0</v>
      </c>
      <c r="B136">
        <v>134</v>
      </c>
      <c r="C136" t="s">
        <v>137</v>
      </c>
      <c r="D136" s="2">
        <v>0</v>
      </c>
      <c r="E136" s="1" t="str">
        <f>VLOOKUP(D136,定義!$A$2:$D$4,4,FALSE)</f>
        <v>無_物理</v>
      </c>
      <c r="F136">
        <v>0</v>
      </c>
      <c r="G136" s="1" t="str">
        <f>VLOOKUP(F136,定義!$A$2:$C$4,2,FALSE)</f>
        <v>ダメージ</v>
      </c>
      <c r="H136">
        <v>0</v>
      </c>
      <c r="I136" s="1" t="str">
        <f>VLOOKUP(H136,定義!$A$2:$C$4,3,FALSE)</f>
        <v>敵</v>
      </c>
      <c r="J136">
        <v>100</v>
      </c>
      <c r="K136" s="2">
        <v>1000</v>
      </c>
      <c r="L136" s="1">
        <f t="shared" si="3"/>
        <v>100</v>
      </c>
    </row>
    <row r="137" spans="1:12">
      <c r="A137" s="1">
        <f>VLOOKUP(B137,[1]SkillName!$A:$B,2,FALSE)</f>
        <v>0</v>
      </c>
      <c r="B137">
        <v>135</v>
      </c>
      <c r="C137" t="s">
        <v>138</v>
      </c>
      <c r="D137" s="2">
        <v>0</v>
      </c>
      <c r="E137" s="1" t="str">
        <f>VLOOKUP(D137,定義!$A$2:$D$4,4,FALSE)</f>
        <v>無_物理</v>
      </c>
      <c r="F137">
        <v>0</v>
      </c>
      <c r="G137" s="1" t="str">
        <f>VLOOKUP(F137,定義!$A$2:$C$4,2,FALSE)</f>
        <v>ダメージ</v>
      </c>
      <c r="H137">
        <v>0</v>
      </c>
      <c r="I137" s="1" t="str">
        <f>VLOOKUP(H137,定義!$A$2:$C$4,3,FALSE)</f>
        <v>敵</v>
      </c>
      <c r="J137">
        <v>100</v>
      </c>
      <c r="K137" s="2">
        <v>1000</v>
      </c>
      <c r="L137" s="1">
        <f t="shared" si="3"/>
        <v>100</v>
      </c>
    </row>
    <row r="138" spans="1:12">
      <c r="A138" s="1">
        <f>VLOOKUP(B138,[1]SkillName!$A:$B,2,FALSE)</f>
        <v>0</v>
      </c>
      <c r="B138">
        <v>136</v>
      </c>
      <c r="C138" t="s">
        <v>139</v>
      </c>
      <c r="D138" s="2">
        <v>0</v>
      </c>
      <c r="E138" s="1" t="str">
        <f>VLOOKUP(D138,定義!$A$2:$D$4,4,FALSE)</f>
        <v>無_物理</v>
      </c>
      <c r="F138">
        <v>0</v>
      </c>
      <c r="G138" s="1" t="str">
        <f>VLOOKUP(F138,定義!$A$2:$C$4,2,FALSE)</f>
        <v>ダメージ</v>
      </c>
      <c r="H138">
        <v>0</v>
      </c>
      <c r="I138" s="1" t="str">
        <f>VLOOKUP(H138,定義!$A$2:$C$4,3,FALSE)</f>
        <v>敵</v>
      </c>
      <c r="J138">
        <v>100</v>
      </c>
      <c r="K138" s="2">
        <v>1000</v>
      </c>
      <c r="L138" s="1">
        <f t="shared" si="3"/>
        <v>100</v>
      </c>
    </row>
    <row r="139" spans="1:12">
      <c r="A139" s="1">
        <f>VLOOKUP(B139,[1]SkillName!$A:$B,2,FALSE)</f>
        <v>0</v>
      </c>
      <c r="B139">
        <v>137</v>
      </c>
      <c r="C139" t="s">
        <v>140</v>
      </c>
      <c r="D139" s="2">
        <v>0</v>
      </c>
      <c r="E139" s="1" t="str">
        <f>VLOOKUP(D139,定義!$A$2:$D$4,4,FALSE)</f>
        <v>無_物理</v>
      </c>
      <c r="F139">
        <v>0</v>
      </c>
      <c r="G139" s="1" t="str">
        <f>VLOOKUP(F139,定義!$A$2:$C$4,2,FALSE)</f>
        <v>ダメージ</v>
      </c>
      <c r="H139">
        <v>0</v>
      </c>
      <c r="I139" s="1" t="str">
        <f>VLOOKUP(H139,定義!$A$2:$C$4,3,FALSE)</f>
        <v>敵</v>
      </c>
      <c r="J139">
        <v>100</v>
      </c>
      <c r="K139" s="2">
        <v>1000</v>
      </c>
      <c r="L139" s="1">
        <f t="shared" si="3"/>
        <v>100</v>
      </c>
    </row>
    <row r="140" spans="1:12">
      <c r="A140" s="1">
        <f>VLOOKUP(B140,[1]SkillName!$A:$B,2,FALSE)</f>
        <v>0</v>
      </c>
      <c r="B140">
        <v>138</v>
      </c>
      <c r="C140" t="s">
        <v>141</v>
      </c>
      <c r="D140" s="2">
        <v>0</v>
      </c>
      <c r="E140" s="1" t="str">
        <f>VLOOKUP(D140,定義!$A$2:$D$4,4,FALSE)</f>
        <v>無_物理</v>
      </c>
      <c r="F140">
        <v>0</v>
      </c>
      <c r="G140" s="1" t="str">
        <f>VLOOKUP(F140,定義!$A$2:$C$4,2,FALSE)</f>
        <v>ダメージ</v>
      </c>
      <c r="H140">
        <v>0</v>
      </c>
      <c r="I140" s="1" t="str">
        <f>VLOOKUP(H140,定義!$A$2:$C$4,3,FALSE)</f>
        <v>敵</v>
      </c>
      <c r="J140">
        <v>100</v>
      </c>
      <c r="K140" s="2">
        <v>1000</v>
      </c>
      <c r="L140" s="1">
        <f t="shared" si="3"/>
        <v>100</v>
      </c>
    </row>
    <row r="141" spans="1:12">
      <c r="A141" s="1">
        <f>VLOOKUP(B141,[1]SkillName!$A:$B,2,FALSE)</f>
        <v>0</v>
      </c>
      <c r="B141">
        <v>139</v>
      </c>
      <c r="C141" t="s">
        <v>142</v>
      </c>
      <c r="D141" s="2">
        <v>0</v>
      </c>
      <c r="E141" s="1" t="str">
        <f>VLOOKUP(D141,定義!$A$2:$D$4,4,FALSE)</f>
        <v>無_物理</v>
      </c>
      <c r="F141">
        <v>0</v>
      </c>
      <c r="G141" s="1" t="str">
        <f>VLOOKUP(F141,定義!$A$2:$C$4,2,FALSE)</f>
        <v>ダメージ</v>
      </c>
      <c r="H141">
        <v>0</v>
      </c>
      <c r="I141" s="1" t="str">
        <f>VLOOKUP(H141,定義!$A$2:$C$4,3,FALSE)</f>
        <v>敵</v>
      </c>
      <c r="J141">
        <v>100</v>
      </c>
      <c r="K141" s="2">
        <v>1000</v>
      </c>
      <c r="L141" s="1">
        <f t="shared" si="3"/>
        <v>100</v>
      </c>
    </row>
    <row r="142" spans="1:12">
      <c r="A142" s="1">
        <f>VLOOKUP(B142,[1]SkillName!$A:$B,2,FALSE)</f>
        <v>0</v>
      </c>
      <c r="B142">
        <v>140</v>
      </c>
      <c r="C142" t="s">
        <v>143</v>
      </c>
      <c r="D142" s="2">
        <v>0</v>
      </c>
      <c r="E142" s="1" t="str">
        <f>VLOOKUP(D142,定義!$A$2:$D$4,4,FALSE)</f>
        <v>無_物理</v>
      </c>
      <c r="F142">
        <v>0</v>
      </c>
      <c r="G142" s="1" t="str">
        <f>VLOOKUP(F142,定義!$A$2:$C$4,2,FALSE)</f>
        <v>ダメージ</v>
      </c>
      <c r="H142">
        <v>0</v>
      </c>
      <c r="I142" s="1" t="str">
        <f>VLOOKUP(H142,定義!$A$2:$C$4,3,FALSE)</f>
        <v>敵</v>
      </c>
      <c r="J142">
        <v>100</v>
      </c>
      <c r="K142" s="2">
        <v>1000</v>
      </c>
      <c r="L142" s="1">
        <f t="shared" si="3"/>
        <v>100</v>
      </c>
    </row>
    <row r="143" spans="1:12">
      <c r="A143" s="1">
        <f>VLOOKUP(B143,[1]SkillName!$A:$B,2,FALSE)</f>
        <v>0</v>
      </c>
      <c r="B143">
        <v>141</v>
      </c>
      <c r="C143" t="s">
        <v>144</v>
      </c>
      <c r="D143" s="2">
        <v>0</v>
      </c>
      <c r="E143" s="1" t="str">
        <f>VLOOKUP(D143,定義!$A$2:$D$4,4,FALSE)</f>
        <v>無_物理</v>
      </c>
      <c r="F143">
        <v>0</v>
      </c>
      <c r="G143" s="1" t="str">
        <f>VLOOKUP(F143,定義!$A$2:$C$4,2,FALSE)</f>
        <v>ダメージ</v>
      </c>
      <c r="H143">
        <v>0</v>
      </c>
      <c r="I143" s="1" t="str">
        <f>VLOOKUP(H143,定義!$A$2:$C$4,3,FALSE)</f>
        <v>敵</v>
      </c>
      <c r="J143">
        <v>100</v>
      </c>
      <c r="K143" s="2">
        <v>1000</v>
      </c>
      <c r="L143" s="1">
        <f t="shared" si="3"/>
        <v>100</v>
      </c>
    </row>
    <row r="144" spans="1:12">
      <c r="A144" s="1">
        <f>VLOOKUP(B144,[1]SkillName!$A:$B,2,FALSE)</f>
        <v>0</v>
      </c>
      <c r="B144">
        <v>142</v>
      </c>
      <c r="C144" t="s">
        <v>145</v>
      </c>
      <c r="D144" s="2">
        <v>0</v>
      </c>
      <c r="E144" s="1" t="str">
        <f>VLOOKUP(D144,定義!$A$2:$D$4,4,FALSE)</f>
        <v>無_物理</v>
      </c>
      <c r="F144">
        <v>0</v>
      </c>
      <c r="G144" s="1" t="str">
        <f>VLOOKUP(F144,定義!$A$2:$C$4,2,FALSE)</f>
        <v>ダメージ</v>
      </c>
      <c r="H144">
        <v>0</v>
      </c>
      <c r="I144" s="1" t="str">
        <f>VLOOKUP(H144,定義!$A$2:$C$4,3,FALSE)</f>
        <v>敵</v>
      </c>
      <c r="J144">
        <v>100</v>
      </c>
      <c r="K144" s="2">
        <v>1000</v>
      </c>
      <c r="L144" s="1">
        <f t="shared" si="3"/>
        <v>100</v>
      </c>
    </row>
    <row r="145" spans="1:12">
      <c r="A145" s="1">
        <f>VLOOKUP(B145,[1]SkillName!$A:$B,2,FALSE)</f>
        <v>0</v>
      </c>
      <c r="B145">
        <v>143</v>
      </c>
      <c r="C145" t="s">
        <v>146</v>
      </c>
      <c r="D145" s="2">
        <v>0</v>
      </c>
      <c r="E145" s="1" t="str">
        <f>VLOOKUP(D145,定義!$A$2:$D$4,4,FALSE)</f>
        <v>無_物理</v>
      </c>
      <c r="F145">
        <v>0</v>
      </c>
      <c r="G145" s="1" t="str">
        <f>VLOOKUP(F145,定義!$A$2:$C$4,2,FALSE)</f>
        <v>ダメージ</v>
      </c>
      <c r="H145">
        <v>0</v>
      </c>
      <c r="I145" s="1" t="str">
        <f>VLOOKUP(H145,定義!$A$2:$C$4,3,FALSE)</f>
        <v>敵</v>
      </c>
      <c r="J145">
        <v>100</v>
      </c>
      <c r="K145" s="2">
        <v>1000</v>
      </c>
      <c r="L145" s="1">
        <f t="shared" si="3"/>
        <v>100</v>
      </c>
    </row>
    <row r="146" spans="1:12">
      <c r="A146" s="1">
        <f>VLOOKUP(B146,[1]SkillName!$A:$B,2,FALSE)</f>
        <v>0</v>
      </c>
      <c r="B146">
        <v>144</v>
      </c>
      <c r="C146" t="s">
        <v>147</v>
      </c>
      <c r="D146" s="2">
        <v>0</v>
      </c>
      <c r="E146" s="1" t="str">
        <f>VLOOKUP(D146,定義!$A$2:$D$4,4,FALSE)</f>
        <v>無_物理</v>
      </c>
      <c r="F146">
        <v>0</v>
      </c>
      <c r="G146" s="1" t="str">
        <f>VLOOKUP(F146,定義!$A$2:$C$4,2,FALSE)</f>
        <v>ダメージ</v>
      </c>
      <c r="H146">
        <v>0</v>
      </c>
      <c r="I146" s="1" t="str">
        <f>VLOOKUP(H146,定義!$A$2:$C$4,3,FALSE)</f>
        <v>敵</v>
      </c>
      <c r="J146">
        <v>100</v>
      </c>
      <c r="K146" s="2">
        <v>1000</v>
      </c>
      <c r="L146" s="1">
        <f t="shared" si="3"/>
        <v>100</v>
      </c>
    </row>
    <row r="147" spans="1:12">
      <c r="A147" s="1">
        <f>VLOOKUP(B147,[1]SkillName!$A:$B,2,FALSE)</f>
        <v>0</v>
      </c>
      <c r="B147">
        <v>145</v>
      </c>
      <c r="C147" t="s">
        <v>148</v>
      </c>
      <c r="D147" s="2">
        <v>0</v>
      </c>
      <c r="E147" s="1" t="str">
        <f>VLOOKUP(D147,定義!$A$2:$D$4,4,FALSE)</f>
        <v>無_物理</v>
      </c>
      <c r="F147">
        <v>0</v>
      </c>
      <c r="G147" s="1" t="str">
        <f>VLOOKUP(F147,定義!$A$2:$C$4,2,FALSE)</f>
        <v>ダメージ</v>
      </c>
      <c r="H147">
        <v>0</v>
      </c>
      <c r="I147" s="1" t="str">
        <f>VLOOKUP(H147,定義!$A$2:$C$4,3,FALSE)</f>
        <v>敵</v>
      </c>
      <c r="J147">
        <v>100</v>
      </c>
      <c r="K147" s="2">
        <v>1000</v>
      </c>
      <c r="L147" s="1">
        <f t="shared" si="3"/>
        <v>100</v>
      </c>
    </row>
    <row r="148" spans="1:12">
      <c r="A148" s="1">
        <f>VLOOKUP(B148,[1]SkillName!$A:$B,2,FALSE)</f>
        <v>0</v>
      </c>
      <c r="B148">
        <v>146</v>
      </c>
      <c r="C148" t="s">
        <v>149</v>
      </c>
      <c r="D148" s="2">
        <v>0</v>
      </c>
      <c r="E148" s="1" t="str">
        <f>VLOOKUP(D148,定義!$A$2:$D$4,4,FALSE)</f>
        <v>無_物理</v>
      </c>
      <c r="F148">
        <v>0</v>
      </c>
      <c r="G148" s="1" t="str">
        <f>VLOOKUP(F148,定義!$A$2:$C$4,2,FALSE)</f>
        <v>ダメージ</v>
      </c>
      <c r="H148">
        <v>0</v>
      </c>
      <c r="I148" s="1" t="str">
        <f>VLOOKUP(H148,定義!$A$2:$C$4,3,FALSE)</f>
        <v>敵</v>
      </c>
      <c r="J148">
        <v>100</v>
      </c>
      <c r="K148" s="2">
        <v>1000</v>
      </c>
      <c r="L148" s="1">
        <f t="shared" si="3"/>
        <v>100</v>
      </c>
    </row>
    <row r="149" spans="1:12">
      <c r="A149" s="1">
        <f>VLOOKUP(B149,[1]SkillName!$A:$B,2,FALSE)</f>
        <v>0</v>
      </c>
      <c r="B149">
        <v>147</v>
      </c>
      <c r="C149" t="s">
        <v>150</v>
      </c>
      <c r="D149" s="2">
        <v>0</v>
      </c>
      <c r="E149" s="1" t="str">
        <f>VLOOKUP(D149,定義!$A$2:$D$4,4,FALSE)</f>
        <v>無_物理</v>
      </c>
      <c r="F149">
        <v>0</v>
      </c>
      <c r="G149" s="1" t="str">
        <f>VLOOKUP(F149,定義!$A$2:$C$4,2,FALSE)</f>
        <v>ダメージ</v>
      </c>
      <c r="H149">
        <v>0</v>
      </c>
      <c r="I149" s="1" t="str">
        <f>VLOOKUP(H149,定義!$A$2:$C$4,3,FALSE)</f>
        <v>敵</v>
      </c>
      <c r="J149">
        <v>100</v>
      </c>
      <c r="K149" s="2">
        <v>1000</v>
      </c>
      <c r="L149" s="1">
        <f t="shared" si="3"/>
        <v>100</v>
      </c>
    </row>
    <row r="150" spans="1:12">
      <c r="A150" s="1">
        <f>VLOOKUP(B150,[1]SkillName!$A:$B,2,FALSE)</f>
        <v>0</v>
      </c>
      <c r="B150">
        <v>148</v>
      </c>
      <c r="C150" t="s">
        <v>151</v>
      </c>
      <c r="D150" s="2">
        <v>0</v>
      </c>
      <c r="E150" s="1" t="str">
        <f>VLOOKUP(D150,定義!$A$2:$D$4,4,FALSE)</f>
        <v>無_物理</v>
      </c>
      <c r="F150">
        <v>0</v>
      </c>
      <c r="G150" s="1" t="str">
        <f>VLOOKUP(F150,定義!$A$2:$C$4,2,FALSE)</f>
        <v>ダメージ</v>
      </c>
      <c r="H150">
        <v>0</v>
      </c>
      <c r="I150" s="1" t="str">
        <f>VLOOKUP(H150,定義!$A$2:$C$4,3,FALSE)</f>
        <v>敵</v>
      </c>
      <c r="J150">
        <v>100</v>
      </c>
      <c r="K150" s="2">
        <v>1000</v>
      </c>
      <c r="L150" s="1">
        <f t="shared" si="3"/>
        <v>100</v>
      </c>
    </row>
    <row r="151" spans="1:12">
      <c r="A151" s="1">
        <f>VLOOKUP(B151,[1]SkillName!$A:$B,2,FALSE)</f>
        <v>0</v>
      </c>
      <c r="B151">
        <v>149</v>
      </c>
      <c r="C151" t="s">
        <v>152</v>
      </c>
      <c r="D151" s="2">
        <v>0</v>
      </c>
      <c r="E151" s="1" t="str">
        <f>VLOOKUP(D151,定義!$A$2:$D$4,4,FALSE)</f>
        <v>無_物理</v>
      </c>
      <c r="F151">
        <v>0</v>
      </c>
      <c r="G151" s="1" t="str">
        <f>VLOOKUP(F151,定義!$A$2:$C$4,2,FALSE)</f>
        <v>ダメージ</v>
      </c>
      <c r="H151">
        <v>0</v>
      </c>
      <c r="I151" s="1" t="str">
        <f>VLOOKUP(H151,定義!$A$2:$C$4,3,FALSE)</f>
        <v>敵</v>
      </c>
      <c r="J151">
        <v>100</v>
      </c>
      <c r="K151" s="2">
        <v>1000</v>
      </c>
      <c r="L151" s="1">
        <f t="shared" si="3"/>
        <v>100</v>
      </c>
    </row>
    <row r="152" spans="1:12">
      <c r="A152" s="1">
        <f>VLOOKUP(B152,[1]SkillName!$A:$B,2,FALSE)</f>
        <v>0</v>
      </c>
      <c r="B152">
        <v>150</v>
      </c>
      <c r="C152" t="s">
        <v>153</v>
      </c>
      <c r="D152" s="2">
        <v>0</v>
      </c>
      <c r="E152" s="1" t="str">
        <f>VLOOKUP(D152,定義!$A$2:$D$4,4,FALSE)</f>
        <v>無_物理</v>
      </c>
      <c r="F152">
        <v>0</v>
      </c>
      <c r="G152" s="1" t="str">
        <f>VLOOKUP(F152,定義!$A$2:$C$4,2,FALSE)</f>
        <v>ダメージ</v>
      </c>
      <c r="H152">
        <v>0</v>
      </c>
      <c r="I152" s="1" t="str">
        <f>VLOOKUP(H152,定義!$A$2:$C$4,3,FALSE)</f>
        <v>敵</v>
      </c>
      <c r="J152">
        <v>100</v>
      </c>
      <c r="K152" s="2">
        <v>1000</v>
      </c>
      <c r="L152" s="1">
        <f t="shared" si="3"/>
        <v>100</v>
      </c>
    </row>
    <row r="153" spans="1:12">
      <c r="A153" s="1">
        <f>VLOOKUP(B153,[1]SkillName!$A:$B,2,FALSE)</f>
        <v>0</v>
      </c>
      <c r="B153">
        <v>151</v>
      </c>
      <c r="C153" t="s">
        <v>154</v>
      </c>
      <c r="D153" s="2">
        <v>0</v>
      </c>
      <c r="E153" s="1" t="str">
        <f>VLOOKUP(D153,定義!$A$2:$D$4,4,FALSE)</f>
        <v>無_物理</v>
      </c>
      <c r="F153">
        <v>0</v>
      </c>
      <c r="G153" s="1" t="str">
        <f>VLOOKUP(F153,定義!$A$2:$C$4,2,FALSE)</f>
        <v>ダメージ</v>
      </c>
      <c r="H153">
        <v>0</v>
      </c>
      <c r="I153" s="1" t="str">
        <f>VLOOKUP(H153,定義!$A$2:$C$4,3,FALSE)</f>
        <v>敵</v>
      </c>
      <c r="J153">
        <v>100</v>
      </c>
      <c r="K153" s="2">
        <v>1000</v>
      </c>
      <c r="L153" s="1">
        <f t="shared" si="3"/>
        <v>100</v>
      </c>
    </row>
    <row r="154" spans="1:12">
      <c r="A154" s="1">
        <f>VLOOKUP(B154,[1]SkillName!$A:$B,2,FALSE)</f>
        <v>0</v>
      </c>
      <c r="B154">
        <v>152</v>
      </c>
      <c r="C154" t="s">
        <v>155</v>
      </c>
      <c r="D154" s="2">
        <v>0</v>
      </c>
      <c r="E154" s="1" t="str">
        <f>VLOOKUP(D154,定義!$A$2:$D$4,4,FALSE)</f>
        <v>無_物理</v>
      </c>
      <c r="F154">
        <v>0</v>
      </c>
      <c r="G154" s="1" t="str">
        <f>VLOOKUP(F154,定義!$A$2:$C$4,2,FALSE)</f>
        <v>ダメージ</v>
      </c>
      <c r="H154">
        <v>0</v>
      </c>
      <c r="I154" s="1" t="str">
        <f>VLOOKUP(H154,定義!$A$2:$C$4,3,FALSE)</f>
        <v>敵</v>
      </c>
      <c r="J154">
        <v>100</v>
      </c>
      <c r="K154" s="2">
        <v>1000</v>
      </c>
      <c r="L154" s="1">
        <f t="shared" si="3"/>
        <v>100</v>
      </c>
    </row>
    <row r="155" spans="1:12">
      <c r="A155" s="1">
        <f>VLOOKUP(B155,[1]SkillName!$A:$B,2,FALSE)</f>
        <v>0</v>
      </c>
      <c r="B155">
        <v>153</v>
      </c>
      <c r="C155" t="s">
        <v>156</v>
      </c>
      <c r="D155" s="2">
        <v>0</v>
      </c>
      <c r="E155" s="1" t="str">
        <f>VLOOKUP(D155,定義!$A$2:$D$4,4,FALSE)</f>
        <v>無_物理</v>
      </c>
      <c r="F155">
        <v>0</v>
      </c>
      <c r="G155" s="1" t="str">
        <f>VLOOKUP(F155,定義!$A$2:$C$4,2,FALSE)</f>
        <v>ダメージ</v>
      </c>
      <c r="H155">
        <v>0</v>
      </c>
      <c r="I155" s="1" t="str">
        <f>VLOOKUP(H155,定義!$A$2:$C$4,3,FALSE)</f>
        <v>敵</v>
      </c>
      <c r="J155">
        <v>100</v>
      </c>
      <c r="K155" s="2">
        <v>1000</v>
      </c>
      <c r="L155" s="1">
        <f t="shared" si="3"/>
        <v>100</v>
      </c>
    </row>
    <row r="156" spans="1:12">
      <c r="A156" s="1">
        <f>VLOOKUP(B156,[1]SkillName!$A:$B,2,FALSE)</f>
        <v>0</v>
      </c>
      <c r="B156">
        <v>154</v>
      </c>
      <c r="C156" t="s">
        <v>157</v>
      </c>
      <c r="D156" s="2">
        <v>0</v>
      </c>
      <c r="E156" s="1" t="str">
        <f>VLOOKUP(D156,定義!$A$2:$D$4,4,FALSE)</f>
        <v>無_物理</v>
      </c>
      <c r="F156">
        <v>0</v>
      </c>
      <c r="G156" s="1" t="str">
        <f>VLOOKUP(F156,定義!$A$2:$C$4,2,FALSE)</f>
        <v>ダメージ</v>
      </c>
      <c r="H156">
        <v>0</v>
      </c>
      <c r="I156" s="1" t="str">
        <f>VLOOKUP(H156,定義!$A$2:$C$4,3,FALSE)</f>
        <v>敵</v>
      </c>
      <c r="J156">
        <v>100</v>
      </c>
      <c r="K156" s="2">
        <v>1000</v>
      </c>
      <c r="L156" s="1">
        <f t="shared" si="3"/>
        <v>100</v>
      </c>
    </row>
    <row r="157" spans="1:12">
      <c r="A157" s="1">
        <f>VLOOKUP(B157,[1]SkillName!$A:$B,2,FALSE)</f>
        <v>0</v>
      </c>
      <c r="B157">
        <v>155</v>
      </c>
      <c r="C157" t="s">
        <v>158</v>
      </c>
      <c r="D157" s="2">
        <v>0</v>
      </c>
      <c r="E157" s="1" t="str">
        <f>VLOOKUP(D157,定義!$A$2:$D$4,4,FALSE)</f>
        <v>無_物理</v>
      </c>
      <c r="F157">
        <v>0</v>
      </c>
      <c r="G157" s="1" t="str">
        <f>VLOOKUP(F157,定義!$A$2:$C$4,2,FALSE)</f>
        <v>ダメージ</v>
      </c>
      <c r="H157">
        <v>0</v>
      </c>
      <c r="I157" s="1" t="str">
        <f>VLOOKUP(H157,定義!$A$2:$C$4,3,FALSE)</f>
        <v>敵</v>
      </c>
      <c r="J157">
        <v>100</v>
      </c>
      <c r="K157" s="2">
        <v>1000</v>
      </c>
      <c r="L157" s="1">
        <f t="shared" si="3"/>
        <v>100</v>
      </c>
    </row>
    <row r="158" spans="1:12">
      <c r="A158" s="1">
        <f>VLOOKUP(B158,[1]SkillName!$A:$B,2,FALSE)</f>
        <v>0</v>
      </c>
      <c r="B158">
        <v>156</v>
      </c>
      <c r="C158" t="s">
        <v>159</v>
      </c>
      <c r="D158" s="2">
        <v>0</v>
      </c>
      <c r="E158" s="1" t="str">
        <f>VLOOKUP(D158,定義!$A$2:$D$4,4,FALSE)</f>
        <v>無_物理</v>
      </c>
      <c r="F158">
        <v>0</v>
      </c>
      <c r="G158" s="1" t="str">
        <f>VLOOKUP(F158,定義!$A$2:$C$4,2,FALSE)</f>
        <v>ダメージ</v>
      </c>
      <c r="H158">
        <v>0</v>
      </c>
      <c r="I158" s="1" t="str">
        <f>VLOOKUP(H158,定義!$A$2:$C$4,3,FALSE)</f>
        <v>敵</v>
      </c>
      <c r="J158">
        <v>100</v>
      </c>
      <c r="K158" s="2">
        <v>1000</v>
      </c>
      <c r="L158" s="1">
        <f t="shared" si="3"/>
        <v>100</v>
      </c>
    </row>
    <row r="159" spans="1:12">
      <c r="A159" s="1">
        <f>VLOOKUP(B159,[1]SkillName!$A:$B,2,FALSE)</f>
        <v>0</v>
      </c>
      <c r="B159">
        <v>157</v>
      </c>
      <c r="C159" t="s">
        <v>160</v>
      </c>
      <c r="D159" s="2">
        <v>0</v>
      </c>
      <c r="E159" s="1" t="str">
        <f>VLOOKUP(D159,定義!$A$2:$D$4,4,FALSE)</f>
        <v>無_物理</v>
      </c>
      <c r="F159">
        <v>0</v>
      </c>
      <c r="G159" s="1" t="str">
        <f>VLOOKUP(F159,定義!$A$2:$C$4,2,FALSE)</f>
        <v>ダメージ</v>
      </c>
      <c r="H159">
        <v>0</v>
      </c>
      <c r="I159" s="1" t="str">
        <f>VLOOKUP(H159,定義!$A$2:$C$4,3,FALSE)</f>
        <v>敵</v>
      </c>
      <c r="J159">
        <v>100</v>
      </c>
      <c r="K159" s="2">
        <v>1000</v>
      </c>
      <c r="L159" s="1">
        <f t="shared" si="3"/>
        <v>100</v>
      </c>
    </row>
    <row r="160" spans="1:12">
      <c r="A160" s="1">
        <f>VLOOKUP(B160,[1]SkillName!$A:$B,2,FALSE)</f>
        <v>0</v>
      </c>
      <c r="B160">
        <v>158</v>
      </c>
      <c r="C160" t="s">
        <v>161</v>
      </c>
      <c r="D160" s="2">
        <v>0</v>
      </c>
      <c r="E160" s="1" t="str">
        <f>VLOOKUP(D160,定義!$A$2:$D$4,4,FALSE)</f>
        <v>無_物理</v>
      </c>
      <c r="F160">
        <v>0</v>
      </c>
      <c r="G160" s="1" t="str">
        <f>VLOOKUP(F160,定義!$A$2:$C$4,2,FALSE)</f>
        <v>ダメージ</v>
      </c>
      <c r="H160">
        <v>0</v>
      </c>
      <c r="I160" s="1" t="str">
        <f>VLOOKUP(H160,定義!$A$2:$C$4,3,FALSE)</f>
        <v>敵</v>
      </c>
      <c r="J160">
        <v>100</v>
      </c>
      <c r="K160" s="2">
        <v>1000</v>
      </c>
      <c r="L160" s="1">
        <f t="shared" si="3"/>
        <v>100</v>
      </c>
    </row>
    <row r="161" spans="1:12">
      <c r="A161" s="1">
        <f>VLOOKUP(B161,[1]SkillName!$A:$B,2,FALSE)</f>
        <v>0</v>
      </c>
      <c r="B161">
        <v>159</v>
      </c>
      <c r="C161" t="s">
        <v>162</v>
      </c>
      <c r="D161" s="2">
        <v>0</v>
      </c>
      <c r="E161" s="1" t="str">
        <f>VLOOKUP(D161,定義!$A$2:$D$4,4,FALSE)</f>
        <v>無_物理</v>
      </c>
      <c r="F161">
        <v>0</v>
      </c>
      <c r="G161" s="1" t="str">
        <f>VLOOKUP(F161,定義!$A$2:$C$4,2,FALSE)</f>
        <v>ダメージ</v>
      </c>
      <c r="H161">
        <v>0</v>
      </c>
      <c r="I161" s="1" t="str">
        <f>VLOOKUP(H161,定義!$A$2:$C$4,3,FALSE)</f>
        <v>敵</v>
      </c>
      <c r="J161">
        <v>100</v>
      </c>
      <c r="K161" s="2">
        <v>1000</v>
      </c>
      <c r="L161" s="1">
        <f t="shared" si="3"/>
        <v>100</v>
      </c>
    </row>
    <row r="162" spans="1:12">
      <c r="A162" s="1">
        <f>VLOOKUP(B162,[1]SkillName!$A:$B,2,FALSE)</f>
        <v>0</v>
      </c>
      <c r="B162">
        <v>160</v>
      </c>
      <c r="C162" t="s">
        <v>163</v>
      </c>
      <c r="D162" s="2">
        <v>0</v>
      </c>
      <c r="E162" s="1" t="str">
        <f>VLOOKUP(D162,定義!$A$2:$D$4,4,FALSE)</f>
        <v>無_物理</v>
      </c>
      <c r="F162">
        <v>0</v>
      </c>
      <c r="G162" s="1" t="str">
        <f>VLOOKUP(F162,定義!$A$2:$C$4,2,FALSE)</f>
        <v>ダメージ</v>
      </c>
      <c r="H162">
        <v>0</v>
      </c>
      <c r="I162" s="1" t="str">
        <f>VLOOKUP(H162,定義!$A$2:$C$4,3,FALSE)</f>
        <v>敵</v>
      </c>
      <c r="J162">
        <v>100</v>
      </c>
      <c r="K162" s="2">
        <v>1000</v>
      </c>
      <c r="L162" s="1">
        <f t="shared" si="3"/>
        <v>100</v>
      </c>
    </row>
    <row r="163" spans="1:12">
      <c r="A163" s="1">
        <f>VLOOKUP(B163,[1]SkillName!$A:$B,2,FALSE)</f>
        <v>0</v>
      </c>
      <c r="B163">
        <v>161</v>
      </c>
      <c r="C163" t="s">
        <v>164</v>
      </c>
      <c r="D163" s="2">
        <v>0</v>
      </c>
      <c r="E163" s="1" t="str">
        <f>VLOOKUP(D163,定義!$A$2:$D$4,4,FALSE)</f>
        <v>無_物理</v>
      </c>
      <c r="F163">
        <v>0</v>
      </c>
      <c r="G163" s="1" t="str">
        <f>VLOOKUP(F163,定義!$A$2:$C$4,2,FALSE)</f>
        <v>ダメージ</v>
      </c>
      <c r="H163">
        <v>0</v>
      </c>
      <c r="I163" s="1" t="str">
        <f>VLOOKUP(H163,定義!$A$2:$C$4,3,FALSE)</f>
        <v>敵</v>
      </c>
      <c r="J163">
        <v>100</v>
      </c>
      <c r="K163" s="2">
        <v>1000</v>
      </c>
      <c r="L163" s="1">
        <f t="shared" si="3"/>
        <v>100</v>
      </c>
    </row>
    <row r="164" spans="1:12">
      <c r="A164" s="1">
        <f>VLOOKUP(B164,[1]SkillName!$A:$B,2,FALSE)</f>
        <v>0</v>
      </c>
      <c r="B164">
        <v>162</v>
      </c>
      <c r="C164" t="s">
        <v>165</v>
      </c>
      <c r="D164" s="2">
        <v>0</v>
      </c>
      <c r="E164" s="1" t="str">
        <f>VLOOKUP(D164,定義!$A$2:$D$4,4,FALSE)</f>
        <v>無_物理</v>
      </c>
      <c r="F164">
        <v>0</v>
      </c>
      <c r="G164" s="1" t="str">
        <f>VLOOKUP(F164,定義!$A$2:$C$4,2,FALSE)</f>
        <v>ダメージ</v>
      </c>
      <c r="H164">
        <v>0</v>
      </c>
      <c r="I164" s="1" t="str">
        <f>VLOOKUP(H164,定義!$A$2:$C$4,3,FALSE)</f>
        <v>敵</v>
      </c>
      <c r="J164">
        <v>100</v>
      </c>
      <c r="K164" s="2">
        <v>1000</v>
      </c>
      <c r="L164" s="1">
        <f t="shared" si="3"/>
        <v>100</v>
      </c>
    </row>
    <row r="165" spans="1:12">
      <c r="A165" s="1">
        <f>VLOOKUP(B165,[1]SkillName!$A:$B,2,FALSE)</f>
        <v>0</v>
      </c>
      <c r="B165">
        <v>163</v>
      </c>
      <c r="C165" t="s">
        <v>166</v>
      </c>
      <c r="D165" s="2">
        <v>0</v>
      </c>
      <c r="E165" s="1" t="str">
        <f>VLOOKUP(D165,定義!$A$2:$D$4,4,FALSE)</f>
        <v>無_物理</v>
      </c>
      <c r="F165">
        <v>0</v>
      </c>
      <c r="G165" s="1" t="str">
        <f>VLOOKUP(F165,定義!$A$2:$C$4,2,FALSE)</f>
        <v>ダメージ</v>
      </c>
      <c r="H165">
        <v>0</v>
      </c>
      <c r="I165" s="1" t="str">
        <f>VLOOKUP(H165,定義!$A$2:$C$4,3,FALSE)</f>
        <v>敵</v>
      </c>
      <c r="J165">
        <v>100</v>
      </c>
      <c r="K165" s="2">
        <v>1000</v>
      </c>
      <c r="L165" s="1">
        <f t="shared" si="3"/>
        <v>100</v>
      </c>
    </row>
    <row r="166" spans="1:12">
      <c r="A166" s="1">
        <f>VLOOKUP(B166,[1]SkillName!$A:$B,2,FALSE)</f>
        <v>0</v>
      </c>
      <c r="B166">
        <v>164</v>
      </c>
      <c r="C166" t="s">
        <v>167</v>
      </c>
      <c r="D166" s="2">
        <v>0</v>
      </c>
      <c r="E166" s="1" t="str">
        <f>VLOOKUP(D166,定義!$A$2:$D$4,4,FALSE)</f>
        <v>無_物理</v>
      </c>
      <c r="F166">
        <v>0</v>
      </c>
      <c r="G166" s="1" t="str">
        <f>VLOOKUP(F166,定義!$A$2:$C$4,2,FALSE)</f>
        <v>ダメージ</v>
      </c>
      <c r="H166">
        <v>0</v>
      </c>
      <c r="I166" s="1" t="str">
        <f>VLOOKUP(H166,定義!$A$2:$C$4,3,FALSE)</f>
        <v>敵</v>
      </c>
      <c r="J166">
        <v>100</v>
      </c>
      <c r="K166" s="2">
        <v>1000</v>
      </c>
      <c r="L166" s="1">
        <f t="shared" si="3"/>
        <v>100</v>
      </c>
    </row>
    <row r="167" spans="1:12">
      <c r="A167" s="1">
        <f>VLOOKUP(B167,[1]SkillName!$A:$B,2,FALSE)</f>
        <v>0</v>
      </c>
      <c r="B167">
        <v>165</v>
      </c>
      <c r="C167" t="s">
        <v>168</v>
      </c>
      <c r="D167" s="2">
        <v>0</v>
      </c>
      <c r="E167" s="1" t="str">
        <f>VLOOKUP(D167,定義!$A$2:$D$4,4,FALSE)</f>
        <v>無_物理</v>
      </c>
      <c r="F167">
        <v>0</v>
      </c>
      <c r="G167" s="1" t="str">
        <f>VLOOKUP(F167,定義!$A$2:$C$4,2,FALSE)</f>
        <v>ダメージ</v>
      </c>
      <c r="H167">
        <v>0</v>
      </c>
      <c r="I167" s="1" t="str">
        <f>VLOOKUP(H167,定義!$A$2:$C$4,3,FALSE)</f>
        <v>敵</v>
      </c>
      <c r="J167">
        <v>100</v>
      </c>
      <c r="K167" s="2">
        <v>1000</v>
      </c>
      <c r="L167" s="1">
        <f t="shared" si="3"/>
        <v>100</v>
      </c>
    </row>
    <row r="168" spans="1:12">
      <c r="A168" s="1">
        <f>VLOOKUP(B168,[1]SkillName!$A:$B,2,FALSE)</f>
        <v>0</v>
      </c>
      <c r="B168">
        <v>166</v>
      </c>
      <c r="C168" t="s">
        <v>169</v>
      </c>
      <c r="D168" s="2">
        <v>0</v>
      </c>
      <c r="E168" s="1" t="str">
        <f>VLOOKUP(D168,定義!$A$2:$D$4,4,FALSE)</f>
        <v>無_物理</v>
      </c>
      <c r="F168">
        <v>0</v>
      </c>
      <c r="G168" s="1" t="str">
        <f>VLOOKUP(F168,定義!$A$2:$C$4,2,FALSE)</f>
        <v>ダメージ</v>
      </c>
      <c r="H168">
        <v>0</v>
      </c>
      <c r="I168" s="1" t="str">
        <f>VLOOKUP(H168,定義!$A$2:$C$4,3,FALSE)</f>
        <v>敵</v>
      </c>
      <c r="J168">
        <v>100</v>
      </c>
      <c r="K168" s="2">
        <v>1000</v>
      </c>
      <c r="L168" s="1">
        <f t="shared" si="3"/>
        <v>100</v>
      </c>
    </row>
    <row r="169" spans="1:12">
      <c r="A169" s="1">
        <f>VLOOKUP(B169,[1]SkillName!$A:$B,2,FALSE)</f>
        <v>0</v>
      </c>
      <c r="B169">
        <v>167</v>
      </c>
      <c r="C169" t="s">
        <v>170</v>
      </c>
      <c r="D169" s="2">
        <v>0</v>
      </c>
      <c r="E169" s="1" t="str">
        <f>VLOOKUP(D169,定義!$A$2:$D$4,4,FALSE)</f>
        <v>無_物理</v>
      </c>
      <c r="F169">
        <v>0</v>
      </c>
      <c r="G169" s="1" t="str">
        <f>VLOOKUP(F169,定義!$A$2:$C$4,2,FALSE)</f>
        <v>ダメージ</v>
      </c>
      <c r="H169">
        <v>0</v>
      </c>
      <c r="I169" s="1" t="str">
        <f>VLOOKUP(H169,定義!$A$2:$C$4,3,FALSE)</f>
        <v>敵</v>
      </c>
      <c r="J169">
        <v>100</v>
      </c>
      <c r="K169" s="2">
        <v>1000</v>
      </c>
      <c r="L169" s="1">
        <f t="shared" si="3"/>
        <v>100</v>
      </c>
    </row>
    <row r="170" spans="1:12">
      <c r="A170" s="1">
        <f>VLOOKUP(B170,[1]SkillName!$A:$B,2,FALSE)</f>
        <v>0</v>
      </c>
      <c r="B170">
        <v>168</v>
      </c>
      <c r="C170" t="s">
        <v>171</v>
      </c>
      <c r="D170" s="2">
        <v>0</v>
      </c>
      <c r="E170" s="1" t="str">
        <f>VLOOKUP(D170,定義!$A$2:$D$4,4,FALSE)</f>
        <v>無_物理</v>
      </c>
      <c r="F170">
        <v>0</v>
      </c>
      <c r="G170" s="1" t="str">
        <f>VLOOKUP(F170,定義!$A$2:$C$4,2,FALSE)</f>
        <v>ダメージ</v>
      </c>
      <c r="H170">
        <v>0</v>
      </c>
      <c r="I170" s="1" t="str">
        <f>VLOOKUP(H170,定義!$A$2:$C$4,3,FALSE)</f>
        <v>敵</v>
      </c>
      <c r="J170">
        <v>100</v>
      </c>
      <c r="K170" s="2">
        <v>1000</v>
      </c>
      <c r="L170" s="1">
        <f t="shared" si="3"/>
        <v>100</v>
      </c>
    </row>
    <row r="171" spans="1:12">
      <c r="A171" s="1">
        <f>VLOOKUP(B171,[1]SkillName!$A:$B,2,FALSE)</f>
        <v>0</v>
      </c>
      <c r="B171">
        <v>169</v>
      </c>
      <c r="C171" t="s">
        <v>172</v>
      </c>
      <c r="D171" s="2">
        <v>0</v>
      </c>
      <c r="E171" s="1" t="str">
        <f>VLOOKUP(D171,定義!$A$2:$D$4,4,FALSE)</f>
        <v>無_物理</v>
      </c>
      <c r="F171">
        <v>0</v>
      </c>
      <c r="G171" s="1" t="str">
        <f>VLOOKUP(F171,定義!$A$2:$C$4,2,FALSE)</f>
        <v>ダメージ</v>
      </c>
      <c r="H171">
        <v>0</v>
      </c>
      <c r="I171" s="1" t="str">
        <f>VLOOKUP(H171,定義!$A$2:$C$4,3,FALSE)</f>
        <v>敵</v>
      </c>
      <c r="J171">
        <v>100</v>
      </c>
      <c r="K171" s="2">
        <v>1000</v>
      </c>
      <c r="L171" s="1">
        <f t="shared" si="3"/>
        <v>100</v>
      </c>
    </row>
    <row r="172" spans="1:12">
      <c r="A172" s="1">
        <f>VLOOKUP(B172,[1]SkillName!$A:$B,2,FALSE)</f>
        <v>0</v>
      </c>
      <c r="B172">
        <v>170</v>
      </c>
      <c r="C172" t="s">
        <v>173</v>
      </c>
      <c r="D172" s="2">
        <v>0</v>
      </c>
      <c r="E172" s="1" t="str">
        <f>VLOOKUP(D172,定義!$A$2:$D$4,4,FALSE)</f>
        <v>無_物理</v>
      </c>
      <c r="F172">
        <v>0</v>
      </c>
      <c r="G172" s="1" t="str">
        <f>VLOOKUP(F172,定義!$A$2:$C$4,2,FALSE)</f>
        <v>ダメージ</v>
      </c>
      <c r="H172">
        <v>0</v>
      </c>
      <c r="I172" s="1" t="str">
        <f>VLOOKUP(H172,定義!$A$2:$C$4,3,FALSE)</f>
        <v>敵</v>
      </c>
      <c r="J172">
        <v>100</v>
      </c>
      <c r="K172" s="2">
        <v>1000</v>
      </c>
      <c r="L172" s="1">
        <f t="shared" si="3"/>
        <v>100</v>
      </c>
    </row>
    <row r="173" spans="1:12">
      <c r="A173" s="1">
        <f>VLOOKUP(B173,[1]SkillName!$A:$B,2,FALSE)</f>
        <v>0</v>
      </c>
      <c r="B173">
        <v>171</v>
      </c>
      <c r="C173" t="s">
        <v>174</v>
      </c>
      <c r="D173" s="2">
        <v>0</v>
      </c>
      <c r="E173" s="1" t="str">
        <f>VLOOKUP(D173,定義!$A$2:$D$4,4,FALSE)</f>
        <v>無_物理</v>
      </c>
      <c r="F173">
        <v>0</v>
      </c>
      <c r="G173" s="1" t="str">
        <f>VLOOKUP(F173,定義!$A$2:$C$4,2,FALSE)</f>
        <v>ダメージ</v>
      </c>
      <c r="H173">
        <v>0</v>
      </c>
      <c r="I173" s="1" t="str">
        <f>VLOOKUP(H173,定義!$A$2:$C$4,3,FALSE)</f>
        <v>敵</v>
      </c>
      <c r="J173">
        <v>100</v>
      </c>
      <c r="K173" s="2">
        <v>1000</v>
      </c>
      <c r="L173" s="1">
        <f t="shared" si="3"/>
        <v>100</v>
      </c>
    </row>
    <row r="174" spans="1:12">
      <c r="A174" s="1">
        <f>VLOOKUP(B174,[1]SkillName!$A:$B,2,FALSE)</f>
        <v>0</v>
      </c>
      <c r="B174">
        <v>172</v>
      </c>
      <c r="C174" t="s">
        <v>175</v>
      </c>
      <c r="D174" s="2">
        <v>0</v>
      </c>
      <c r="E174" s="1" t="str">
        <f>VLOOKUP(D174,定義!$A$2:$D$4,4,FALSE)</f>
        <v>無_物理</v>
      </c>
      <c r="F174">
        <v>0</v>
      </c>
      <c r="G174" s="1" t="str">
        <f>VLOOKUP(F174,定義!$A$2:$C$4,2,FALSE)</f>
        <v>ダメージ</v>
      </c>
      <c r="H174">
        <v>0</v>
      </c>
      <c r="I174" s="1" t="str">
        <f>VLOOKUP(H174,定義!$A$2:$C$4,3,FALSE)</f>
        <v>敵</v>
      </c>
      <c r="J174">
        <v>100</v>
      </c>
      <c r="K174" s="2">
        <v>1000</v>
      </c>
      <c r="L174" s="1">
        <f t="shared" si="3"/>
        <v>100</v>
      </c>
    </row>
    <row r="175" spans="1:12">
      <c r="A175" s="1">
        <f>VLOOKUP(B175,[1]SkillName!$A:$B,2,FALSE)</f>
        <v>0</v>
      </c>
      <c r="B175">
        <v>173</v>
      </c>
      <c r="C175" t="s">
        <v>176</v>
      </c>
      <c r="D175" s="2">
        <v>0</v>
      </c>
      <c r="E175" s="1" t="str">
        <f>VLOOKUP(D175,定義!$A$2:$D$4,4,FALSE)</f>
        <v>無_物理</v>
      </c>
      <c r="F175">
        <v>0</v>
      </c>
      <c r="G175" s="1" t="str">
        <f>VLOOKUP(F175,定義!$A$2:$C$4,2,FALSE)</f>
        <v>ダメージ</v>
      </c>
      <c r="H175">
        <v>0</v>
      </c>
      <c r="I175" s="1" t="str">
        <f>VLOOKUP(H175,定義!$A$2:$C$4,3,FALSE)</f>
        <v>敵</v>
      </c>
      <c r="J175">
        <v>100</v>
      </c>
      <c r="K175" s="2">
        <v>1000</v>
      </c>
      <c r="L175" s="1">
        <f t="shared" si="3"/>
        <v>100</v>
      </c>
    </row>
    <row r="176" spans="1:12">
      <c r="A176" s="1">
        <f>VLOOKUP(B176,[1]SkillName!$A:$B,2,FALSE)</f>
        <v>0</v>
      </c>
      <c r="B176">
        <v>174</v>
      </c>
      <c r="C176" t="s">
        <v>177</v>
      </c>
      <c r="D176" s="2">
        <v>0</v>
      </c>
      <c r="E176" s="1" t="str">
        <f>VLOOKUP(D176,定義!$A$2:$D$4,4,FALSE)</f>
        <v>無_物理</v>
      </c>
      <c r="F176">
        <v>0</v>
      </c>
      <c r="G176" s="1" t="str">
        <f>VLOOKUP(F176,定義!$A$2:$C$4,2,FALSE)</f>
        <v>ダメージ</v>
      </c>
      <c r="H176">
        <v>0</v>
      </c>
      <c r="I176" s="1" t="str">
        <f>VLOOKUP(H176,定義!$A$2:$C$4,3,FALSE)</f>
        <v>敵</v>
      </c>
      <c r="J176">
        <v>100</v>
      </c>
      <c r="K176" s="2">
        <v>1000</v>
      </c>
      <c r="L176" s="1">
        <f t="shared" si="3"/>
        <v>100</v>
      </c>
    </row>
    <row r="177" spans="1:12">
      <c r="A177" s="1">
        <f>VLOOKUP(B177,[1]SkillName!$A:$B,2,FALSE)</f>
        <v>0</v>
      </c>
      <c r="B177">
        <v>175</v>
      </c>
      <c r="C177" t="s">
        <v>178</v>
      </c>
      <c r="D177" s="2">
        <v>0</v>
      </c>
      <c r="E177" s="1" t="str">
        <f>VLOOKUP(D177,定義!$A$2:$D$4,4,FALSE)</f>
        <v>無_物理</v>
      </c>
      <c r="F177">
        <v>0</v>
      </c>
      <c r="G177" s="1" t="str">
        <f>VLOOKUP(F177,定義!$A$2:$C$4,2,FALSE)</f>
        <v>ダメージ</v>
      </c>
      <c r="H177">
        <v>0</v>
      </c>
      <c r="I177" s="1" t="str">
        <f>VLOOKUP(H177,定義!$A$2:$C$4,3,FALSE)</f>
        <v>敵</v>
      </c>
      <c r="J177">
        <v>100</v>
      </c>
      <c r="K177" s="2">
        <v>1000</v>
      </c>
      <c r="L177" s="1">
        <f t="shared" si="3"/>
        <v>100</v>
      </c>
    </row>
    <row r="178" spans="1:12">
      <c r="A178" s="1">
        <f>VLOOKUP(B178,[1]SkillName!$A:$B,2,FALSE)</f>
        <v>0</v>
      </c>
      <c r="B178">
        <v>176</v>
      </c>
      <c r="C178" t="s">
        <v>179</v>
      </c>
      <c r="D178" s="2">
        <v>0</v>
      </c>
      <c r="E178" s="1" t="str">
        <f>VLOOKUP(D178,定義!$A$2:$D$4,4,FALSE)</f>
        <v>無_物理</v>
      </c>
      <c r="F178">
        <v>0</v>
      </c>
      <c r="G178" s="1" t="str">
        <f>VLOOKUP(F178,定義!$A$2:$C$4,2,FALSE)</f>
        <v>ダメージ</v>
      </c>
      <c r="H178">
        <v>0</v>
      </c>
      <c r="I178" s="1" t="str">
        <f>VLOOKUP(H178,定義!$A$2:$C$4,3,FALSE)</f>
        <v>敵</v>
      </c>
      <c r="J178">
        <v>100</v>
      </c>
      <c r="K178" s="2">
        <v>1000</v>
      </c>
      <c r="L178" s="1">
        <f t="shared" si="3"/>
        <v>100</v>
      </c>
    </row>
    <row r="179" spans="1:12">
      <c r="A179" s="1">
        <f>VLOOKUP(B179,[1]SkillName!$A:$B,2,FALSE)</f>
        <v>0</v>
      </c>
      <c r="B179">
        <v>177</v>
      </c>
      <c r="C179" t="s">
        <v>180</v>
      </c>
      <c r="D179" s="2">
        <v>0</v>
      </c>
      <c r="E179" s="1" t="str">
        <f>VLOOKUP(D179,定義!$A$2:$D$4,4,FALSE)</f>
        <v>無_物理</v>
      </c>
      <c r="F179">
        <v>0</v>
      </c>
      <c r="G179" s="1" t="str">
        <f>VLOOKUP(F179,定義!$A$2:$C$4,2,FALSE)</f>
        <v>ダメージ</v>
      </c>
      <c r="H179">
        <v>0</v>
      </c>
      <c r="I179" s="1" t="str">
        <f>VLOOKUP(H179,定義!$A$2:$C$4,3,FALSE)</f>
        <v>敵</v>
      </c>
      <c r="J179">
        <v>100</v>
      </c>
      <c r="K179" s="2">
        <v>1000</v>
      </c>
      <c r="L179" s="1">
        <f t="shared" si="3"/>
        <v>100</v>
      </c>
    </row>
    <row r="180" spans="1:12">
      <c r="A180" s="1">
        <f>VLOOKUP(B180,[1]SkillName!$A:$B,2,FALSE)</f>
        <v>0</v>
      </c>
      <c r="B180">
        <v>178</v>
      </c>
      <c r="C180" t="s">
        <v>181</v>
      </c>
      <c r="D180" s="2">
        <v>0</v>
      </c>
      <c r="E180" s="1" t="str">
        <f>VLOOKUP(D180,定義!$A$2:$D$4,4,FALSE)</f>
        <v>無_物理</v>
      </c>
      <c r="F180">
        <v>0</v>
      </c>
      <c r="G180" s="1" t="str">
        <f>VLOOKUP(F180,定義!$A$2:$C$4,2,FALSE)</f>
        <v>ダメージ</v>
      </c>
      <c r="H180">
        <v>0</v>
      </c>
      <c r="I180" s="1" t="str">
        <f>VLOOKUP(H180,定義!$A$2:$C$4,3,FALSE)</f>
        <v>敵</v>
      </c>
      <c r="J180">
        <v>100</v>
      </c>
      <c r="K180" s="2">
        <v>1000</v>
      </c>
      <c r="L180" s="1">
        <f t="shared" si="3"/>
        <v>100</v>
      </c>
    </row>
    <row r="181" spans="1:12">
      <c r="A181" s="1">
        <f>VLOOKUP(B181,[1]SkillName!$A:$B,2,FALSE)</f>
        <v>0</v>
      </c>
      <c r="B181">
        <v>179</v>
      </c>
      <c r="C181" t="s">
        <v>182</v>
      </c>
      <c r="D181" s="2">
        <v>0</v>
      </c>
      <c r="E181" s="1" t="str">
        <f>VLOOKUP(D181,定義!$A$2:$D$4,4,FALSE)</f>
        <v>無_物理</v>
      </c>
      <c r="F181">
        <v>0</v>
      </c>
      <c r="G181" s="1" t="str">
        <f>VLOOKUP(F181,定義!$A$2:$C$4,2,FALSE)</f>
        <v>ダメージ</v>
      </c>
      <c r="H181">
        <v>0</v>
      </c>
      <c r="I181" s="1" t="str">
        <f>VLOOKUP(H181,定義!$A$2:$C$4,3,FALSE)</f>
        <v>敵</v>
      </c>
      <c r="J181">
        <v>100</v>
      </c>
      <c r="K181" s="2">
        <v>1000</v>
      </c>
      <c r="L181" s="1">
        <f t="shared" si="3"/>
        <v>100</v>
      </c>
    </row>
    <row r="182" spans="1:12">
      <c r="A182" s="1">
        <f>VLOOKUP(B182,[1]SkillName!$A:$B,2,FALSE)</f>
        <v>0</v>
      </c>
      <c r="B182">
        <v>180</v>
      </c>
      <c r="C182" t="s">
        <v>183</v>
      </c>
      <c r="D182" s="2">
        <v>0</v>
      </c>
      <c r="E182" s="1" t="str">
        <f>VLOOKUP(D182,定義!$A$2:$D$4,4,FALSE)</f>
        <v>無_物理</v>
      </c>
      <c r="F182">
        <v>0</v>
      </c>
      <c r="G182" s="1" t="str">
        <f>VLOOKUP(F182,定義!$A$2:$C$4,2,FALSE)</f>
        <v>ダメージ</v>
      </c>
      <c r="H182">
        <v>0</v>
      </c>
      <c r="I182" s="1" t="str">
        <f>VLOOKUP(H182,定義!$A$2:$C$4,3,FALSE)</f>
        <v>敵</v>
      </c>
      <c r="J182">
        <v>100</v>
      </c>
      <c r="K182" s="2">
        <v>1000</v>
      </c>
      <c r="L182" s="1">
        <f t="shared" si="3"/>
        <v>100</v>
      </c>
    </row>
    <row r="183" spans="1:12">
      <c r="A183" s="1">
        <f>VLOOKUP(B183,[1]SkillName!$A:$B,2,FALSE)</f>
        <v>0</v>
      </c>
      <c r="B183">
        <v>181</v>
      </c>
      <c r="C183" t="s">
        <v>184</v>
      </c>
      <c r="D183" s="2">
        <v>0</v>
      </c>
      <c r="E183" s="1" t="str">
        <f>VLOOKUP(D183,定義!$A$2:$D$4,4,FALSE)</f>
        <v>無_物理</v>
      </c>
      <c r="F183">
        <v>0</v>
      </c>
      <c r="G183" s="1" t="str">
        <f>VLOOKUP(F183,定義!$A$2:$C$4,2,FALSE)</f>
        <v>ダメージ</v>
      </c>
      <c r="H183">
        <v>0</v>
      </c>
      <c r="I183" s="1" t="str">
        <f>VLOOKUP(H183,定義!$A$2:$C$4,3,FALSE)</f>
        <v>敵</v>
      </c>
      <c r="J183">
        <v>100</v>
      </c>
      <c r="K183" s="2">
        <v>1000</v>
      </c>
      <c r="L183" s="1">
        <f t="shared" si="3"/>
        <v>100</v>
      </c>
    </row>
    <row r="184" spans="1:12">
      <c r="A184" s="1">
        <f>VLOOKUP(B184,[1]SkillName!$A:$B,2,FALSE)</f>
        <v>0</v>
      </c>
      <c r="B184">
        <v>182</v>
      </c>
      <c r="C184" t="s">
        <v>185</v>
      </c>
      <c r="D184" s="2">
        <v>0</v>
      </c>
      <c r="E184" s="1" t="str">
        <f>VLOOKUP(D184,定義!$A$2:$D$4,4,FALSE)</f>
        <v>無_物理</v>
      </c>
      <c r="F184">
        <v>0</v>
      </c>
      <c r="G184" s="1" t="str">
        <f>VLOOKUP(F184,定義!$A$2:$C$4,2,FALSE)</f>
        <v>ダメージ</v>
      </c>
      <c r="H184">
        <v>0</v>
      </c>
      <c r="I184" s="1" t="str">
        <f>VLOOKUP(H184,定義!$A$2:$C$4,3,FALSE)</f>
        <v>敵</v>
      </c>
      <c r="J184">
        <v>100</v>
      </c>
      <c r="K184" s="2">
        <v>1000</v>
      </c>
      <c r="L184" s="1">
        <f t="shared" si="3"/>
        <v>100</v>
      </c>
    </row>
    <row r="185" spans="1:12">
      <c r="A185" s="1">
        <f>VLOOKUP(B185,[1]SkillName!$A:$B,2,FALSE)</f>
        <v>0</v>
      </c>
      <c r="B185">
        <v>183</v>
      </c>
      <c r="C185" t="s">
        <v>186</v>
      </c>
      <c r="D185" s="2">
        <v>0</v>
      </c>
      <c r="E185" s="1" t="str">
        <f>VLOOKUP(D185,定義!$A$2:$D$4,4,FALSE)</f>
        <v>無_物理</v>
      </c>
      <c r="F185">
        <v>0</v>
      </c>
      <c r="G185" s="1" t="str">
        <f>VLOOKUP(F185,定義!$A$2:$C$4,2,FALSE)</f>
        <v>ダメージ</v>
      </c>
      <c r="H185">
        <v>0</v>
      </c>
      <c r="I185" s="1" t="str">
        <f>VLOOKUP(H185,定義!$A$2:$C$4,3,FALSE)</f>
        <v>敵</v>
      </c>
      <c r="J185">
        <v>100</v>
      </c>
      <c r="K185" s="2">
        <v>1000</v>
      </c>
      <c r="L185" s="1">
        <f t="shared" si="3"/>
        <v>100</v>
      </c>
    </row>
    <row r="186" spans="1:12">
      <c r="A186" s="1">
        <f>VLOOKUP(B186,[1]SkillName!$A:$B,2,FALSE)</f>
        <v>0</v>
      </c>
      <c r="B186">
        <v>184</v>
      </c>
      <c r="C186" t="s">
        <v>187</v>
      </c>
      <c r="D186" s="2">
        <v>0</v>
      </c>
      <c r="E186" s="1" t="str">
        <f>VLOOKUP(D186,定義!$A$2:$D$4,4,FALSE)</f>
        <v>無_物理</v>
      </c>
      <c r="F186">
        <v>0</v>
      </c>
      <c r="G186" s="1" t="str">
        <f>VLOOKUP(F186,定義!$A$2:$C$4,2,FALSE)</f>
        <v>ダメージ</v>
      </c>
      <c r="H186">
        <v>0</v>
      </c>
      <c r="I186" s="1" t="str">
        <f>VLOOKUP(H186,定義!$A$2:$C$4,3,FALSE)</f>
        <v>敵</v>
      </c>
      <c r="J186">
        <v>100</v>
      </c>
      <c r="K186" s="2">
        <v>1000</v>
      </c>
      <c r="L186" s="1">
        <f t="shared" si="3"/>
        <v>100</v>
      </c>
    </row>
    <row r="187" spans="1:12">
      <c r="A187" s="1">
        <f>VLOOKUP(B187,[1]SkillName!$A:$B,2,FALSE)</f>
        <v>0</v>
      </c>
      <c r="B187">
        <v>185</v>
      </c>
      <c r="C187" t="s">
        <v>188</v>
      </c>
      <c r="D187" s="2">
        <v>0</v>
      </c>
      <c r="E187" s="1" t="str">
        <f>VLOOKUP(D187,定義!$A$2:$D$4,4,FALSE)</f>
        <v>無_物理</v>
      </c>
      <c r="F187">
        <v>0</v>
      </c>
      <c r="G187" s="1" t="str">
        <f>VLOOKUP(F187,定義!$A$2:$C$4,2,FALSE)</f>
        <v>ダメージ</v>
      </c>
      <c r="H187">
        <v>0</v>
      </c>
      <c r="I187" s="1" t="str">
        <f>VLOOKUP(H187,定義!$A$2:$C$4,3,FALSE)</f>
        <v>敵</v>
      </c>
      <c r="J187">
        <v>100</v>
      </c>
      <c r="K187" s="2">
        <v>1000</v>
      </c>
      <c r="L187" s="1">
        <f t="shared" si="3"/>
        <v>100</v>
      </c>
    </row>
    <row r="188" spans="1:12">
      <c r="A188" s="1">
        <f>VLOOKUP(B188,[1]SkillName!$A:$B,2,FALSE)</f>
        <v>0</v>
      </c>
      <c r="B188">
        <v>186</v>
      </c>
      <c r="C188" t="s">
        <v>189</v>
      </c>
      <c r="D188" s="2">
        <v>0</v>
      </c>
      <c r="E188" s="1" t="str">
        <f>VLOOKUP(D188,定義!$A$2:$D$4,4,FALSE)</f>
        <v>無_物理</v>
      </c>
      <c r="F188">
        <v>0</v>
      </c>
      <c r="G188" s="1" t="str">
        <f>VLOOKUP(F188,定義!$A$2:$C$4,2,FALSE)</f>
        <v>ダメージ</v>
      </c>
      <c r="H188">
        <v>0</v>
      </c>
      <c r="I188" s="1" t="str">
        <f>VLOOKUP(H188,定義!$A$2:$C$4,3,FALSE)</f>
        <v>敵</v>
      </c>
      <c r="J188">
        <v>100</v>
      </c>
      <c r="K188" s="2">
        <v>1000</v>
      </c>
      <c r="L188" s="1">
        <f t="shared" si="3"/>
        <v>100</v>
      </c>
    </row>
    <row r="189" spans="1:12">
      <c r="A189" s="1">
        <f>VLOOKUP(B189,[1]SkillName!$A:$B,2,FALSE)</f>
        <v>0</v>
      </c>
      <c r="B189">
        <v>187</v>
      </c>
      <c r="C189" t="s">
        <v>190</v>
      </c>
      <c r="D189" s="2">
        <v>0</v>
      </c>
      <c r="E189" s="1" t="str">
        <f>VLOOKUP(D189,定義!$A$2:$D$4,4,FALSE)</f>
        <v>無_物理</v>
      </c>
      <c r="F189">
        <v>0</v>
      </c>
      <c r="G189" s="1" t="str">
        <f>VLOOKUP(F189,定義!$A$2:$C$4,2,FALSE)</f>
        <v>ダメージ</v>
      </c>
      <c r="H189">
        <v>0</v>
      </c>
      <c r="I189" s="1" t="str">
        <f>VLOOKUP(H189,定義!$A$2:$C$4,3,FALSE)</f>
        <v>敵</v>
      </c>
      <c r="J189">
        <v>100</v>
      </c>
      <c r="K189" s="2">
        <v>1000</v>
      </c>
      <c r="L189" s="1">
        <f t="shared" si="3"/>
        <v>100</v>
      </c>
    </row>
    <row r="190" spans="1:12">
      <c r="A190" s="1">
        <f>VLOOKUP(B190,[1]SkillName!$A:$B,2,FALSE)</f>
        <v>0</v>
      </c>
      <c r="B190">
        <v>188</v>
      </c>
      <c r="C190" t="s">
        <v>191</v>
      </c>
      <c r="D190" s="2">
        <v>0</v>
      </c>
      <c r="E190" s="1" t="str">
        <f>VLOOKUP(D190,定義!$A$2:$D$4,4,FALSE)</f>
        <v>無_物理</v>
      </c>
      <c r="F190">
        <v>0</v>
      </c>
      <c r="G190" s="1" t="str">
        <f>VLOOKUP(F190,定義!$A$2:$C$4,2,FALSE)</f>
        <v>ダメージ</v>
      </c>
      <c r="H190">
        <v>0</v>
      </c>
      <c r="I190" s="1" t="str">
        <f>VLOOKUP(H190,定義!$A$2:$C$4,3,FALSE)</f>
        <v>敵</v>
      </c>
      <c r="J190">
        <v>100</v>
      </c>
      <c r="K190" s="2">
        <v>1000</v>
      </c>
      <c r="L190" s="1">
        <f t="shared" si="3"/>
        <v>100</v>
      </c>
    </row>
    <row r="191" spans="1:12">
      <c r="A191" s="1">
        <f>VLOOKUP(B191,[1]SkillName!$A:$B,2,FALSE)</f>
        <v>0</v>
      </c>
      <c r="B191">
        <v>189</v>
      </c>
      <c r="C191" t="s">
        <v>192</v>
      </c>
      <c r="D191" s="2">
        <v>0</v>
      </c>
      <c r="E191" s="1" t="str">
        <f>VLOOKUP(D191,定義!$A$2:$D$4,4,FALSE)</f>
        <v>無_物理</v>
      </c>
      <c r="F191">
        <v>0</v>
      </c>
      <c r="G191" s="1" t="str">
        <f>VLOOKUP(F191,定義!$A$2:$C$4,2,FALSE)</f>
        <v>ダメージ</v>
      </c>
      <c r="H191">
        <v>0</v>
      </c>
      <c r="I191" s="1" t="str">
        <f>VLOOKUP(H191,定義!$A$2:$C$4,3,FALSE)</f>
        <v>敵</v>
      </c>
      <c r="J191">
        <v>100</v>
      </c>
      <c r="K191" s="2">
        <v>1000</v>
      </c>
      <c r="L191" s="1">
        <f t="shared" si="3"/>
        <v>100</v>
      </c>
    </row>
    <row r="192" spans="1:12">
      <c r="A192" s="1">
        <f>VLOOKUP(B192,[1]SkillName!$A:$B,2,FALSE)</f>
        <v>0</v>
      </c>
      <c r="B192">
        <v>190</v>
      </c>
      <c r="C192" t="s">
        <v>193</v>
      </c>
      <c r="D192" s="2">
        <v>0</v>
      </c>
      <c r="E192" s="1" t="str">
        <f>VLOOKUP(D192,定義!$A$2:$D$4,4,FALSE)</f>
        <v>無_物理</v>
      </c>
      <c r="F192">
        <v>0</v>
      </c>
      <c r="G192" s="1" t="str">
        <f>VLOOKUP(F192,定義!$A$2:$C$4,2,FALSE)</f>
        <v>ダメージ</v>
      </c>
      <c r="H192">
        <v>0</v>
      </c>
      <c r="I192" s="1" t="str">
        <f>VLOOKUP(H192,定義!$A$2:$C$4,3,FALSE)</f>
        <v>敵</v>
      </c>
      <c r="J192">
        <v>100</v>
      </c>
      <c r="K192" s="2">
        <v>1000</v>
      </c>
      <c r="L192" s="1">
        <f t="shared" si="3"/>
        <v>100</v>
      </c>
    </row>
    <row r="193" spans="1:12">
      <c r="A193" s="1">
        <f>VLOOKUP(B193,[1]SkillName!$A:$B,2,FALSE)</f>
        <v>0</v>
      </c>
      <c r="B193">
        <v>191</v>
      </c>
      <c r="C193" t="s">
        <v>194</v>
      </c>
      <c r="D193" s="2">
        <v>0</v>
      </c>
      <c r="E193" s="1" t="str">
        <f>VLOOKUP(D193,定義!$A$2:$D$4,4,FALSE)</f>
        <v>無_物理</v>
      </c>
      <c r="F193">
        <v>0</v>
      </c>
      <c r="G193" s="1" t="str">
        <f>VLOOKUP(F193,定義!$A$2:$C$4,2,FALSE)</f>
        <v>ダメージ</v>
      </c>
      <c r="H193">
        <v>0</v>
      </c>
      <c r="I193" s="1" t="str">
        <f>VLOOKUP(H193,定義!$A$2:$C$4,3,FALSE)</f>
        <v>敵</v>
      </c>
      <c r="J193">
        <v>100</v>
      </c>
      <c r="K193" s="2">
        <v>1000</v>
      </c>
      <c r="L193" s="1">
        <f t="shared" si="3"/>
        <v>100</v>
      </c>
    </row>
    <row r="194" spans="1:12">
      <c r="A194" s="1">
        <f>VLOOKUP(B194,[1]SkillName!$A:$B,2,FALSE)</f>
        <v>0</v>
      </c>
      <c r="B194">
        <v>192</v>
      </c>
      <c r="C194" t="s">
        <v>195</v>
      </c>
      <c r="D194" s="2">
        <v>0</v>
      </c>
      <c r="E194" s="1" t="str">
        <f>VLOOKUP(D194,定義!$A$2:$D$4,4,FALSE)</f>
        <v>無_物理</v>
      </c>
      <c r="F194">
        <v>0</v>
      </c>
      <c r="G194" s="1" t="str">
        <f>VLOOKUP(F194,定義!$A$2:$C$4,2,FALSE)</f>
        <v>ダメージ</v>
      </c>
      <c r="H194">
        <v>0</v>
      </c>
      <c r="I194" s="1" t="str">
        <f>VLOOKUP(H194,定義!$A$2:$C$4,3,FALSE)</f>
        <v>敵</v>
      </c>
      <c r="J194">
        <v>100</v>
      </c>
      <c r="K194" s="2">
        <v>1000</v>
      </c>
      <c r="L194" s="1">
        <f t="shared" si="3"/>
        <v>100</v>
      </c>
    </row>
    <row r="195" spans="1:12">
      <c r="A195" s="1">
        <f>VLOOKUP(B195,[1]SkillName!$A:$B,2,FALSE)</f>
        <v>0</v>
      </c>
      <c r="B195">
        <v>193</v>
      </c>
      <c r="C195" t="s">
        <v>196</v>
      </c>
      <c r="D195" s="2">
        <v>0</v>
      </c>
      <c r="E195" s="1" t="str">
        <f>VLOOKUP(D195,定義!$A$2:$D$4,4,FALSE)</f>
        <v>無_物理</v>
      </c>
      <c r="F195">
        <v>0</v>
      </c>
      <c r="G195" s="1" t="str">
        <f>VLOOKUP(F195,定義!$A$2:$C$4,2,FALSE)</f>
        <v>ダメージ</v>
      </c>
      <c r="H195">
        <v>0</v>
      </c>
      <c r="I195" s="1" t="str">
        <f>VLOOKUP(H195,定義!$A$2:$C$4,3,FALSE)</f>
        <v>敵</v>
      </c>
      <c r="J195">
        <v>100</v>
      </c>
      <c r="K195" s="2">
        <v>1000</v>
      </c>
      <c r="L195" s="1">
        <f t="shared" si="3"/>
        <v>100</v>
      </c>
    </row>
    <row r="196" spans="1:12">
      <c r="A196" s="1">
        <f>VLOOKUP(B196,[1]SkillName!$A:$B,2,FALSE)</f>
        <v>0</v>
      </c>
      <c r="B196">
        <v>194</v>
      </c>
      <c r="C196" t="s">
        <v>197</v>
      </c>
      <c r="D196" s="2">
        <v>0</v>
      </c>
      <c r="E196" s="1" t="str">
        <f>VLOOKUP(D196,定義!$A$2:$D$4,4,FALSE)</f>
        <v>無_物理</v>
      </c>
      <c r="F196">
        <v>0</v>
      </c>
      <c r="G196" s="1" t="str">
        <f>VLOOKUP(F196,定義!$A$2:$C$4,2,FALSE)</f>
        <v>ダメージ</v>
      </c>
      <c r="H196">
        <v>0</v>
      </c>
      <c r="I196" s="1" t="str">
        <f>VLOOKUP(H196,定義!$A$2:$C$4,3,FALSE)</f>
        <v>敵</v>
      </c>
      <c r="J196">
        <v>100</v>
      </c>
      <c r="K196" s="2">
        <v>1000</v>
      </c>
      <c r="L196" s="1">
        <f t="shared" si="3"/>
        <v>100</v>
      </c>
    </row>
    <row r="197" spans="1:12">
      <c r="A197" s="1">
        <f>VLOOKUP(B197,[1]SkillName!$A:$B,2,FALSE)</f>
        <v>0</v>
      </c>
      <c r="B197">
        <v>195</v>
      </c>
      <c r="C197" t="s">
        <v>198</v>
      </c>
      <c r="D197" s="2">
        <v>0</v>
      </c>
      <c r="E197" s="1" t="str">
        <f>VLOOKUP(D197,定義!$A$2:$D$4,4,FALSE)</f>
        <v>無_物理</v>
      </c>
      <c r="F197">
        <v>0</v>
      </c>
      <c r="G197" s="1" t="str">
        <f>VLOOKUP(F197,定義!$A$2:$C$4,2,FALSE)</f>
        <v>ダメージ</v>
      </c>
      <c r="H197">
        <v>0</v>
      </c>
      <c r="I197" s="1" t="str">
        <f>VLOOKUP(H197,定義!$A$2:$C$4,3,FALSE)</f>
        <v>敵</v>
      </c>
      <c r="J197">
        <v>100</v>
      </c>
      <c r="K197" s="2">
        <v>1000</v>
      </c>
      <c r="L197" s="1">
        <f t="shared" si="3"/>
        <v>100</v>
      </c>
    </row>
    <row r="198" spans="1:12">
      <c r="A198" s="1">
        <f>VLOOKUP(B198,[1]SkillName!$A:$B,2,FALSE)</f>
        <v>0</v>
      </c>
      <c r="B198">
        <v>196</v>
      </c>
      <c r="C198" t="s">
        <v>199</v>
      </c>
      <c r="D198" s="2">
        <v>0</v>
      </c>
      <c r="E198" s="1" t="str">
        <f>VLOOKUP(D198,定義!$A$2:$D$4,4,FALSE)</f>
        <v>無_物理</v>
      </c>
      <c r="F198">
        <v>0</v>
      </c>
      <c r="G198" s="1" t="str">
        <f>VLOOKUP(F198,定義!$A$2:$C$4,2,FALSE)</f>
        <v>ダメージ</v>
      </c>
      <c r="H198">
        <v>0</v>
      </c>
      <c r="I198" s="1" t="str">
        <f>VLOOKUP(H198,定義!$A$2:$C$4,3,FALSE)</f>
        <v>敵</v>
      </c>
      <c r="J198">
        <v>100</v>
      </c>
      <c r="K198" s="2">
        <v>1000</v>
      </c>
      <c r="L198" s="1">
        <f t="shared" ref="L198:L261" si="4">J198*1000/K198</f>
        <v>100</v>
      </c>
    </row>
    <row r="199" spans="1:12">
      <c r="A199" s="1">
        <f>VLOOKUP(B199,[1]SkillName!$A:$B,2,FALSE)</f>
        <v>0</v>
      </c>
      <c r="B199">
        <v>197</v>
      </c>
      <c r="C199" t="s">
        <v>200</v>
      </c>
      <c r="D199" s="2">
        <v>0</v>
      </c>
      <c r="E199" s="1" t="str">
        <f>VLOOKUP(D199,定義!$A$2:$D$4,4,FALSE)</f>
        <v>無_物理</v>
      </c>
      <c r="F199">
        <v>0</v>
      </c>
      <c r="G199" s="1" t="str">
        <f>VLOOKUP(F199,定義!$A$2:$C$4,2,FALSE)</f>
        <v>ダメージ</v>
      </c>
      <c r="H199">
        <v>0</v>
      </c>
      <c r="I199" s="1" t="str">
        <f>VLOOKUP(H199,定義!$A$2:$C$4,3,FALSE)</f>
        <v>敵</v>
      </c>
      <c r="J199">
        <v>100</v>
      </c>
      <c r="K199" s="2">
        <v>1000</v>
      </c>
      <c r="L199" s="1">
        <f t="shared" si="4"/>
        <v>100</v>
      </c>
    </row>
    <row r="200" spans="1:12">
      <c r="A200" s="1">
        <f>VLOOKUP(B200,[1]SkillName!$A:$B,2,FALSE)</f>
        <v>0</v>
      </c>
      <c r="B200">
        <v>198</v>
      </c>
      <c r="C200" t="s">
        <v>201</v>
      </c>
      <c r="D200" s="2">
        <v>0</v>
      </c>
      <c r="E200" s="1" t="str">
        <f>VLOOKUP(D200,定義!$A$2:$D$4,4,FALSE)</f>
        <v>無_物理</v>
      </c>
      <c r="F200">
        <v>0</v>
      </c>
      <c r="G200" s="1" t="str">
        <f>VLOOKUP(F200,定義!$A$2:$C$4,2,FALSE)</f>
        <v>ダメージ</v>
      </c>
      <c r="H200">
        <v>0</v>
      </c>
      <c r="I200" s="1" t="str">
        <f>VLOOKUP(H200,定義!$A$2:$C$4,3,FALSE)</f>
        <v>敵</v>
      </c>
      <c r="J200">
        <v>100</v>
      </c>
      <c r="K200" s="2">
        <v>1000</v>
      </c>
      <c r="L200" s="1">
        <f t="shared" si="4"/>
        <v>100</v>
      </c>
    </row>
    <row r="201" spans="1:12">
      <c r="A201" s="1">
        <f>VLOOKUP(B201,[1]SkillName!$A:$B,2,FALSE)</f>
        <v>0</v>
      </c>
      <c r="B201">
        <v>199</v>
      </c>
      <c r="C201" t="s">
        <v>202</v>
      </c>
      <c r="D201" s="2">
        <v>0</v>
      </c>
      <c r="E201" s="1" t="str">
        <f>VLOOKUP(D201,定義!$A$2:$D$4,4,FALSE)</f>
        <v>無_物理</v>
      </c>
      <c r="F201">
        <v>0</v>
      </c>
      <c r="G201" s="1" t="str">
        <f>VLOOKUP(F201,定義!$A$2:$C$4,2,FALSE)</f>
        <v>ダメージ</v>
      </c>
      <c r="H201">
        <v>0</v>
      </c>
      <c r="I201" s="1" t="str">
        <f>VLOOKUP(H201,定義!$A$2:$C$4,3,FALSE)</f>
        <v>敵</v>
      </c>
      <c r="J201">
        <v>100</v>
      </c>
      <c r="K201" s="2">
        <v>1000</v>
      </c>
      <c r="L201" s="1">
        <f t="shared" si="4"/>
        <v>100</v>
      </c>
    </row>
    <row r="202" spans="1:12">
      <c r="A202" s="1">
        <f>VLOOKUP(B202,[1]SkillName!$A:$B,2,FALSE)</f>
        <v>0</v>
      </c>
      <c r="B202">
        <v>200</v>
      </c>
      <c r="C202" t="s">
        <v>306</v>
      </c>
      <c r="D202" s="2">
        <v>0</v>
      </c>
      <c r="E202" s="1" t="str">
        <f>VLOOKUP(D202,定義!$A$2:$D$4,4,FALSE)</f>
        <v>無_物理</v>
      </c>
      <c r="F202">
        <v>0</v>
      </c>
      <c r="G202" s="1" t="str">
        <f>VLOOKUP(F202,定義!$A$2:$C$4,2,FALSE)</f>
        <v>ダメージ</v>
      </c>
      <c r="H202">
        <v>0</v>
      </c>
      <c r="I202" s="1" t="str">
        <f>VLOOKUP(H202,定義!$A$2:$C$4,3,FALSE)</f>
        <v>敵</v>
      </c>
      <c r="J202">
        <v>100</v>
      </c>
      <c r="K202" s="2">
        <v>1000</v>
      </c>
      <c r="L202" s="1">
        <f t="shared" si="4"/>
        <v>100</v>
      </c>
    </row>
    <row r="203" spans="1:12">
      <c r="A203" s="1">
        <f>VLOOKUP(B203,[1]SkillName!$A:$B,2,FALSE)</f>
        <v>0</v>
      </c>
      <c r="B203">
        <v>201</v>
      </c>
      <c r="C203" t="s">
        <v>307</v>
      </c>
      <c r="D203" s="2">
        <v>0</v>
      </c>
      <c r="E203" s="1" t="str">
        <f>VLOOKUP(D203,定義!$A$2:$D$4,4,FALSE)</f>
        <v>無_物理</v>
      </c>
      <c r="F203">
        <v>0</v>
      </c>
      <c r="G203" s="1" t="str">
        <f>VLOOKUP(F203,定義!$A$2:$C$4,2,FALSE)</f>
        <v>ダメージ</v>
      </c>
      <c r="H203">
        <v>0</v>
      </c>
      <c r="I203" s="1" t="str">
        <f>VLOOKUP(H203,定義!$A$2:$C$4,3,FALSE)</f>
        <v>敵</v>
      </c>
      <c r="J203">
        <v>100</v>
      </c>
      <c r="K203" s="2">
        <v>1000</v>
      </c>
      <c r="L203" s="1">
        <f t="shared" si="4"/>
        <v>100</v>
      </c>
    </row>
    <row r="204" spans="1:12">
      <c r="A204" s="1">
        <f>VLOOKUP(B204,[1]SkillName!$A:$B,2,FALSE)</f>
        <v>0</v>
      </c>
      <c r="B204">
        <v>202</v>
      </c>
      <c r="C204" t="s">
        <v>308</v>
      </c>
      <c r="D204" s="2">
        <v>0</v>
      </c>
      <c r="E204" s="1" t="str">
        <f>VLOOKUP(D204,定義!$A$2:$D$4,4,FALSE)</f>
        <v>無_物理</v>
      </c>
      <c r="F204">
        <v>0</v>
      </c>
      <c r="G204" s="1" t="str">
        <f>VLOOKUP(F204,定義!$A$2:$C$4,2,FALSE)</f>
        <v>ダメージ</v>
      </c>
      <c r="H204">
        <v>0</v>
      </c>
      <c r="I204" s="1" t="str">
        <f>VLOOKUP(H204,定義!$A$2:$C$4,3,FALSE)</f>
        <v>敵</v>
      </c>
      <c r="J204">
        <v>100</v>
      </c>
      <c r="K204" s="2">
        <v>1000</v>
      </c>
      <c r="L204" s="1">
        <f t="shared" si="4"/>
        <v>100</v>
      </c>
    </row>
    <row r="205" spans="1:12">
      <c r="A205" s="1">
        <f>VLOOKUP(B205,[1]SkillName!$A:$B,2,FALSE)</f>
        <v>0</v>
      </c>
      <c r="B205">
        <v>203</v>
      </c>
      <c r="C205" t="s">
        <v>309</v>
      </c>
      <c r="D205" s="2">
        <v>0</v>
      </c>
      <c r="E205" s="1" t="str">
        <f>VLOOKUP(D205,定義!$A$2:$D$4,4,FALSE)</f>
        <v>無_物理</v>
      </c>
      <c r="F205">
        <v>0</v>
      </c>
      <c r="G205" s="1" t="str">
        <f>VLOOKUP(F205,定義!$A$2:$C$4,2,FALSE)</f>
        <v>ダメージ</v>
      </c>
      <c r="H205">
        <v>0</v>
      </c>
      <c r="I205" s="1" t="str">
        <f>VLOOKUP(H205,定義!$A$2:$C$4,3,FALSE)</f>
        <v>敵</v>
      </c>
      <c r="J205">
        <v>100</v>
      </c>
      <c r="K205" s="2">
        <v>1000</v>
      </c>
      <c r="L205" s="1">
        <f t="shared" si="4"/>
        <v>100</v>
      </c>
    </row>
    <row r="206" spans="1:12">
      <c r="A206" s="1">
        <f>VLOOKUP(B206,[1]SkillName!$A:$B,2,FALSE)</f>
        <v>0</v>
      </c>
      <c r="B206">
        <v>204</v>
      </c>
      <c r="C206" t="s">
        <v>310</v>
      </c>
      <c r="D206" s="2">
        <v>0</v>
      </c>
      <c r="E206" s="1" t="str">
        <f>VLOOKUP(D206,定義!$A$2:$D$4,4,FALSE)</f>
        <v>無_物理</v>
      </c>
      <c r="F206">
        <v>0</v>
      </c>
      <c r="G206" s="1" t="str">
        <f>VLOOKUP(F206,定義!$A$2:$C$4,2,FALSE)</f>
        <v>ダメージ</v>
      </c>
      <c r="H206">
        <v>0</v>
      </c>
      <c r="I206" s="1" t="str">
        <f>VLOOKUP(H206,定義!$A$2:$C$4,3,FALSE)</f>
        <v>敵</v>
      </c>
      <c r="J206">
        <v>100</v>
      </c>
      <c r="K206" s="2">
        <v>1000</v>
      </c>
      <c r="L206" s="1">
        <f t="shared" si="4"/>
        <v>100</v>
      </c>
    </row>
    <row r="207" spans="1:12">
      <c r="A207" s="1">
        <f>VLOOKUP(B207,[1]SkillName!$A:$B,2,FALSE)</f>
        <v>0</v>
      </c>
      <c r="B207">
        <v>205</v>
      </c>
      <c r="C207" t="s">
        <v>203</v>
      </c>
      <c r="D207" s="2">
        <v>0</v>
      </c>
      <c r="E207" s="1" t="str">
        <f>VLOOKUP(D207,定義!$A$2:$D$4,4,FALSE)</f>
        <v>無_物理</v>
      </c>
      <c r="F207">
        <v>0</v>
      </c>
      <c r="G207" s="1" t="str">
        <f>VLOOKUP(F207,定義!$A$2:$C$4,2,FALSE)</f>
        <v>ダメージ</v>
      </c>
      <c r="H207">
        <v>0</v>
      </c>
      <c r="I207" s="1" t="str">
        <f>VLOOKUP(H207,定義!$A$2:$C$4,3,FALSE)</f>
        <v>敵</v>
      </c>
      <c r="J207">
        <v>100</v>
      </c>
      <c r="K207" s="2">
        <v>1000</v>
      </c>
      <c r="L207" s="1">
        <f t="shared" si="4"/>
        <v>100</v>
      </c>
    </row>
    <row r="208" spans="1:12">
      <c r="A208" s="1">
        <f>VLOOKUP(B208,[1]SkillName!$A:$B,2,FALSE)</f>
        <v>0</v>
      </c>
      <c r="B208">
        <v>206</v>
      </c>
      <c r="C208" t="s">
        <v>204</v>
      </c>
      <c r="D208" s="2">
        <v>0</v>
      </c>
      <c r="E208" s="1" t="str">
        <f>VLOOKUP(D208,定義!$A$2:$D$4,4,FALSE)</f>
        <v>無_物理</v>
      </c>
      <c r="F208">
        <v>0</v>
      </c>
      <c r="G208" s="1" t="str">
        <f>VLOOKUP(F208,定義!$A$2:$C$4,2,FALSE)</f>
        <v>ダメージ</v>
      </c>
      <c r="H208">
        <v>0</v>
      </c>
      <c r="I208" s="1" t="str">
        <f>VLOOKUP(H208,定義!$A$2:$C$4,3,FALSE)</f>
        <v>敵</v>
      </c>
      <c r="J208">
        <v>100</v>
      </c>
      <c r="K208" s="2">
        <v>1000</v>
      </c>
      <c r="L208" s="1">
        <f t="shared" si="4"/>
        <v>100</v>
      </c>
    </row>
    <row r="209" spans="1:12">
      <c r="A209" s="1">
        <f>VLOOKUP(B209,[1]SkillName!$A:$B,2,FALSE)</f>
        <v>0</v>
      </c>
      <c r="B209">
        <v>207</v>
      </c>
      <c r="C209" t="s">
        <v>205</v>
      </c>
      <c r="D209" s="2">
        <v>0</v>
      </c>
      <c r="E209" s="1" t="str">
        <f>VLOOKUP(D209,定義!$A$2:$D$4,4,FALSE)</f>
        <v>無_物理</v>
      </c>
      <c r="F209">
        <v>0</v>
      </c>
      <c r="G209" s="1" t="str">
        <f>VLOOKUP(F209,定義!$A$2:$C$4,2,FALSE)</f>
        <v>ダメージ</v>
      </c>
      <c r="H209">
        <v>0</v>
      </c>
      <c r="I209" s="1" t="str">
        <f>VLOOKUP(H209,定義!$A$2:$C$4,3,FALSE)</f>
        <v>敵</v>
      </c>
      <c r="J209">
        <v>100</v>
      </c>
      <c r="K209" s="2">
        <v>1000</v>
      </c>
      <c r="L209" s="1">
        <f t="shared" si="4"/>
        <v>100</v>
      </c>
    </row>
    <row r="210" spans="1:12">
      <c r="A210" s="1">
        <f>VLOOKUP(B210,[1]SkillName!$A:$B,2,FALSE)</f>
        <v>0</v>
      </c>
      <c r="B210">
        <v>208</v>
      </c>
      <c r="C210" t="s">
        <v>206</v>
      </c>
      <c r="D210" s="2">
        <v>0</v>
      </c>
      <c r="E210" s="1" t="str">
        <f>VLOOKUP(D210,定義!$A$2:$D$4,4,FALSE)</f>
        <v>無_物理</v>
      </c>
      <c r="F210">
        <v>0</v>
      </c>
      <c r="G210" s="1" t="str">
        <f>VLOOKUP(F210,定義!$A$2:$C$4,2,FALSE)</f>
        <v>ダメージ</v>
      </c>
      <c r="H210">
        <v>0</v>
      </c>
      <c r="I210" s="1" t="str">
        <f>VLOOKUP(H210,定義!$A$2:$C$4,3,FALSE)</f>
        <v>敵</v>
      </c>
      <c r="J210">
        <v>100</v>
      </c>
      <c r="K210" s="2">
        <v>1000</v>
      </c>
      <c r="L210" s="1">
        <f t="shared" si="4"/>
        <v>100</v>
      </c>
    </row>
    <row r="211" spans="1:12">
      <c r="A211" s="1">
        <f>VLOOKUP(B211,[1]SkillName!$A:$B,2,FALSE)</f>
        <v>0</v>
      </c>
      <c r="B211">
        <v>209</v>
      </c>
      <c r="C211" t="s">
        <v>207</v>
      </c>
      <c r="D211" s="2">
        <v>0</v>
      </c>
      <c r="E211" s="1" t="str">
        <f>VLOOKUP(D211,定義!$A$2:$D$4,4,FALSE)</f>
        <v>無_物理</v>
      </c>
      <c r="F211">
        <v>0</v>
      </c>
      <c r="G211" s="1" t="str">
        <f>VLOOKUP(F211,定義!$A$2:$C$4,2,FALSE)</f>
        <v>ダメージ</v>
      </c>
      <c r="H211">
        <v>0</v>
      </c>
      <c r="I211" s="1" t="str">
        <f>VLOOKUP(H211,定義!$A$2:$C$4,3,FALSE)</f>
        <v>敵</v>
      </c>
      <c r="J211">
        <v>100</v>
      </c>
      <c r="K211" s="2">
        <v>1000</v>
      </c>
      <c r="L211" s="1">
        <f t="shared" si="4"/>
        <v>100</v>
      </c>
    </row>
    <row r="212" spans="1:12">
      <c r="A212" s="1">
        <f>VLOOKUP(B212,[1]SkillName!$A:$B,2,FALSE)</f>
        <v>0</v>
      </c>
      <c r="B212">
        <v>210</v>
      </c>
      <c r="C212" t="s">
        <v>208</v>
      </c>
      <c r="D212" s="2">
        <v>0</v>
      </c>
      <c r="E212" s="1" t="str">
        <f>VLOOKUP(D212,定義!$A$2:$D$4,4,FALSE)</f>
        <v>無_物理</v>
      </c>
      <c r="F212">
        <v>0</v>
      </c>
      <c r="G212" s="1" t="str">
        <f>VLOOKUP(F212,定義!$A$2:$C$4,2,FALSE)</f>
        <v>ダメージ</v>
      </c>
      <c r="H212">
        <v>0</v>
      </c>
      <c r="I212" s="1" t="str">
        <f>VLOOKUP(H212,定義!$A$2:$C$4,3,FALSE)</f>
        <v>敵</v>
      </c>
      <c r="J212">
        <v>100</v>
      </c>
      <c r="K212" s="2">
        <v>1000</v>
      </c>
      <c r="L212" s="1">
        <f t="shared" si="4"/>
        <v>100</v>
      </c>
    </row>
    <row r="213" spans="1:12">
      <c r="A213" s="1">
        <f>VLOOKUP(B213,[1]SkillName!$A:$B,2,FALSE)</f>
        <v>0</v>
      </c>
      <c r="B213">
        <v>211</v>
      </c>
      <c r="C213" t="s">
        <v>209</v>
      </c>
      <c r="D213" s="2">
        <v>0</v>
      </c>
      <c r="E213" s="1" t="str">
        <f>VLOOKUP(D213,定義!$A$2:$D$4,4,FALSE)</f>
        <v>無_物理</v>
      </c>
      <c r="F213">
        <v>0</v>
      </c>
      <c r="G213" s="1" t="str">
        <f>VLOOKUP(F213,定義!$A$2:$C$4,2,FALSE)</f>
        <v>ダメージ</v>
      </c>
      <c r="H213">
        <v>0</v>
      </c>
      <c r="I213" s="1" t="str">
        <f>VLOOKUP(H213,定義!$A$2:$C$4,3,FALSE)</f>
        <v>敵</v>
      </c>
      <c r="J213">
        <v>100</v>
      </c>
      <c r="K213" s="2">
        <v>1000</v>
      </c>
      <c r="L213" s="1">
        <f t="shared" si="4"/>
        <v>100</v>
      </c>
    </row>
    <row r="214" spans="1:12">
      <c r="A214" s="1">
        <f>VLOOKUP(B214,[1]SkillName!$A:$B,2,FALSE)</f>
        <v>0</v>
      </c>
      <c r="B214">
        <v>212</v>
      </c>
      <c r="C214" t="s">
        <v>210</v>
      </c>
      <c r="D214" s="2">
        <v>0</v>
      </c>
      <c r="E214" s="1" t="str">
        <f>VLOOKUP(D214,定義!$A$2:$D$4,4,FALSE)</f>
        <v>無_物理</v>
      </c>
      <c r="F214">
        <v>0</v>
      </c>
      <c r="G214" s="1" t="str">
        <f>VLOOKUP(F214,定義!$A$2:$C$4,2,FALSE)</f>
        <v>ダメージ</v>
      </c>
      <c r="H214">
        <v>0</v>
      </c>
      <c r="I214" s="1" t="str">
        <f>VLOOKUP(H214,定義!$A$2:$C$4,3,FALSE)</f>
        <v>敵</v>
      </c>
      <c r="J214">
        <v>100</v>
      </c>
      <c r="K214" s="2">
        <v>1000</v>
      </c>
      <c r="L214" s="1">
        <f t="shared" si="4"/>
        <v>100</v>
      </c>
    </row>
    <row r="215" spans="1:12">
      <c r="A215" s="1">
        <f>VLOOKUP(B215,[1]SkillName!$A:$B,2,FALSE)</f>
        <v>0</v>
      </c>
      <c r="B215">
        <v>213</v>
      </c>
      <c r="C215" t="s">
        <v>211</v>
      </c>
      <c r="D215" s="2">
        <v>0</v>
      </c>
      <c r="E215" s="1" t="str">
        <f>VLOOKUP(D215,定義!$A$2:$D$4,4,FALSE)</f>
        <v>無_物理</v>
      </c>
      <c r="F215">
        <v>0</v>
      </c>
      <c r="G215" s="1" t="str">
        <f>VLOOKUP(F215,定義!$A$2:$C$4,2,FALSE)</f>
        <v>ダメージ</v>
      </c>
      <c r="H215">
        <v>0</v>
      </c>
      <c r="I215" s="1" t="str">
        <f>VLOOKUP(H215,定義!$A$2:$C$4,3,FALSE)</f>
        <v>敵</v>
      </c>
      <c r="J215">
        <v>100</v>
      </c>
      <c r="K215" s="2">
        <v>1000</v>
      </c>
      <c r="L215" s="1">
        <f t="shared" si="4"/>
        <v>100</v>
      </c>
    </row>
    <row r="216" spans="1:12">
      <c r="A216" s="1">
        <f>VLOOKUP(B216,[1]SkillName!$A:$B,2,FALSE)</f>
        <v>0</v>
      </c>
      <c r="B216">
        <v>214</v>
      </c>
      <c r="C216" t="s">
        <v>212</v>
      </c>
      <c r="D216" s="2">
        <v>0</v>
      </c>
      <c r="E216" s="1" t="str">
        <f>VLOOKUP(D216,定義!$A$2:$D$4,4,FALSE)</f>
        <v>無_物理</v>
      </c>
      <c r="F216">
        <v>0</v>
      </c>
      <c r="G216" s="1" t="str">
        <f>VLOOKUP(F216,定義!$A$2:$C$4,2,FALSE)</f>
        <v>ダメージ</v>
      </c>
      <c r="H216">
        <v>0</v>
      </c>
      <c r="I216" s="1" t="str">
        <f>VLOOKUP(H216,定義!$A$2:$C$4,3,FALSE)</f>
        <v>敵</v>
      </c>
      <c r="J216">
        <v>100</v>
      </c>
      <c r="K216" s="2">
        <v>1000</v>
      </c>
      <c r="L216" s="1">
        <f t="shared" si="4"/>
        <v>100</v>
      </c>
    </row>
    <row r="217" spans="1:12">
      <c r="A217" s="1">
        <f>VLOOKUP(B217,[1]SkillName!$A:$B,2,FALSE)</f>
        <v>0</v>
      </c>
      <c r="B217">
        <v>215</v>
      </c>
      <c r="C217" t="s">
        <v>213</v>
      </c>
      <c r="D217" s="2">
        <v>0</v>
      </c>
      <c r="E217" s="1" t="str">
        <f>VLOOKUP(D217,定義!$A$2:$D$4,4,FALSE)</f>
        <v>無_物理</v>
      </c>
      <c r="F217">
        <v>0</v>
      </c>
      <c r="G217" s="1" t="str">
        <f>VLOOKUP(F217,定義!$A$2:$C$4,2,FALSE)</f>
        <v>ダメージ</v>
      </c>
      <c r="H217">
        <v>0</v>
      </c>
      <c r="I217" s="1" t="str">
        <f>VLOOKUP(H217,定義!$A$2:$C$4,3,FALSE)</f>
        <v>敵</v>
      </c>
      <c r="J217">
        <v>100</v>
      </c>
      <c r="K217" s="2">
        <v>1000</v>
      </c>
      <c r="L217" s="1">
        <f t="shared" si="4"/>
        <v>100</v>
      </c>
    </row>
    <row r="218" spans="1:12">
      <c r="A218" s="1">
        <f>VLOOKUP(B218,[1]SkillName!$A:$B,2,FALSE)</f>
        <v>0</v>
      </c>
      <c r="B218">
        <v>216</v>
      </c>
      <c r="C218" t="s">
        <v>214</v>
      </c>
      <c r="D218" s="2">
        <v>0</v>
      </c>
      <c r="E218" s="1" t="str">
        <f>VLOOKUP(D218,定義!$A$2:$D$4,4,FALSE)</f>
        <v>無_物理</v>
      </c>
      <c r="F218">
        <v>0</v>
      </c>
      <c r="G218" s="1" t="str">
        <f>VLOOKUP(F218,定義!$A$2:$C$4,2,FALSE)</f>
        <v>ダメージ</v>
      </c>
      <c r="H218">
        <v>0</v>
      </c>
      <c r="I218" s="1" t="str">
        <f>VLOOKUP(H218,定義!$A$2:$C$4,3,FALSE)</f>
        <v>敵</v>
      </c>
      <c r="J218">
        <v>100</v>
      </c>
      <c r="K218" s="2">
        <v>1000</v>
      </c>
      <c r="L218" s="1">
        <f t="shared" si="4"/>
        <v>100</v>
      </c>
    </row>
    <row r="219" spans="1:12">
      <c r="A219" s="1">
        <f>VLOOKUP(B219,[1]SkillName!$A:$B,2,FALSE)</f>
        <v>0</v>
      </c>
      <c r="B219">
        <v>217</v>
      </c>
      <c r="C219" t="s">
        <v>215</v>
      </c>
      <c r="D219" s="2">
        <v>0</v>
      </c>
      <c r="E219" s="1" t="str">
        <f>VLOOKUP(D219,定義!$A$2:$D$4,4,FALSE)</f>
        <v>無_物理</v>
      </c>
      <c r="F219">
        <v>0</v>
      </c>
      <c r="G219" s="1" t="str">
        <f>VLOOKUP(F219,定義!$A$2:$C$4,2,FALSE)</f>
        <v>ダメージ</v>
      </c>
      <c r="H219">
        <v>0</v>
      </c>
      <c r="I219" s="1" t="str">
        <f>VLOOKUP(H219,定義!$A$2:$C$4,3,FALSE)</f>
        <v>敵</v>
      </c>
      <c r="J219">
        <v>100</v>
      </c>
      <c r="K219" s="2">
        <v>1000</v>
      </c>
      <c r="L219" s="1">
        <f t="shared" si="4"/>
        <v>100</v>
      </c>
    </row>
    <row r="220" spans="1:12">
      <c r="A220" s="1">
        <f>VLOOKUP(B220,[1]SkillName!$A:$B,2,FALSE)</f>
        <v>0</v>
      </c>
      <c r="B220">
        <v>218</v>
      </c>
      <c r="C220" t="s">
        <v>216</v>
      </c>
      <c r="D220" s="2">
        <v>0</v>
      </c>
      <c r="E220" s="1" t="str">
        <f>VLOOKUP(D220,定義!$A$2:$D$4,4,FALSE)</f>
        <v>無_物理</v>
      </c>
      <c r="F220">
        <v>0</v>
      </c>
      <c r="G220" s="1" t="str">
        <f>VLOOKUP(F220,定義!$A$2:$C$4,2,FALSE)</f>
        <v>ダメージ</v>
      </c>
      <c r="H220">
        <v>0</v>
      </c>
      <c r="I220" s="1" t="str">
        <f>VLOOKUP(H220,定義!$A$2:$C$4,3,FALSE)</f>
        <v>敵</v>
      </c>
      <c r="J220">
        <v>100</v>
      </c>
      <c r="K220" s="2">
        <v>1000</v>
      </c>
      <c r="L220" s="1">
        <f t="shared" si="4"/>
        <v>100</v>
      </c>
    </row>
    <row r="221" spans="1:12">
      <c r="A221" s="1">
        <f>VLOOKUP(B221,[1]SkillName!$A:$B,2,FALSE)</f>
        <v>0</v>
      </c>
      <c r="B221">
        <v>219</v>
      </c>
      <c r="C221" t="s">
        <v>217</v>
      </c>
      <c r="D221" s="2">
        <v>0</v>
      </c>
      <c r="E221" s="1" t="str">
        <f>VLOOKUP(D221,定義!$A$2:$D$4,4,FALSE)</f>
        <v>無_物理</v>
      </c>
      <c r="F221">
        <v>0</v>
      </c>
      <c r="G221" s="1" t="str">
        <f>VLOOKUP(F221,定義!$A$2:$C$4,2,FALSE)</f>
        <v>ダメージ</v>
      </c>
      <c r="H221">
        <v>0</v>
      </c>
      <c r="I221" s="1" t="str">
        <f>VLOOKUP(H221,定義!$A$2:$C$4,3,FALSE)</f>
        <v>敵</v>
      </c>
      <c r="J221">
        <v>100</v>
      </c>
      <c r="K221" s="2">
        <v>1000</v>
      </c>
      <c r="L221" s="1">
        <f t="shared" si="4"/>
        <v>100</v>
      </c>
    </row>
    <row r="222" spans="1:12">
      <c r="A222" s="1">
        <f>VLOOKUP(B222,[1]SkillName!$A:$B,2,FALSE)</f>
        <v>0</v>
      </c>
      <c r="B222">
        <v>220</v>
      </c>
      <c r="C222" t="s">
        <v>218</v>
      </c>
      <c r="D222" s="2">
        <v>0</v>
      </c>
      <c r="E222" s="1" t="str">
        <f>VLOOKUP(D222,定義!$A$2:$D$4,4,FALSE)</f>
        <v>無_物理</v>
      </c>
      <c r="F222">
        <v>0</v>
      </c>
      <c r="G222" s="1" t="str">
        <f>VLOOKUP(F222,定義!$A$2:$C$4,2,FALSE)</f>
        <v>ダメージ</v>
      </c>
      <c r="H222">
        <v>0</v>
      </c>
      <c r="I222" s="1" t="str">
        <f>VLOOKUP(H222,定義!$A$2:$C$4,3,FALSE)</f>
        <v>敵</v>
      </c>
      <c r="J222">
        <v>100</v>
      </c>
      <c r="K222" s="2">
        <v>1000</v>
      </c>
      <c r="L222" s="1">
        <f t="shared" si="4"/>
        <v>100</v>
      </c>
    </row>
    <row r="223" spans="1:12">
      <c r="A223" s="1">
        <f>VLOOKUP(B223,[1]SkillName!$A:$B,2,FALSE)</f>
        <v>0</v>
      </c>
      <c r="B223">
        <v>221</v>
      </c>
      <c r="C223" t="s">
        <v>219</v>
      </c>
      <c r="D223" s="2">
        <v>0</v>
      </c>
      <c r="E223" s="1" t="str">
        <f>VLOOKUP(D223,定義!$A$2:$D$4,4,FALSE)</f>
        <v>無_物理</v>
      </c>
      <c r="F223">
        <v>0</v>
      </c>
      <c r="G223" s="1" t="str">
        <f>VLOOKUP(F223,定義!$A$2:$C$4,2,FALSE)</f>
        <v>ダメージ</v>
      </c>
      <c r="H223">
        <v>0</v>
      </c>
      <c r="I223" s="1" t="str">
        <f>VLOOKUP(H223,定義!$A$2:$C$4,3,FALSE)</f>
        <v>敵</v>
      </c>
      <c r="J223">
        <v>100</v>
      </c>
      <c r="K223" s="2">
        <v>1000</v>
      </c>
      <c r="L223" s="1">
        <f t="shared" si="4"/>
        <v>100</v>
      </c>
    </row>
    <row r="224" spans="1:12">
      <c r="A224" s="1">
        <f>VLOOKUP(B224,[1]SkillName!$A:$B,2,FALSE)</f>
        <v>0</v>
      </c>
      <c r="B224">
        <v>222</v>
      </c>
      <c r="C224" t="s">
        <v>220</v>
      </c>
      <c r="D224" s="2">
        <v>0</v>
      </c>
      <c r="E224" s="1" t="str">
        <f>VLOOKUP(D224,定義!$A$2:$D$4,4,FALSE)</f>
        <v>無_物理</v>
      </c>
      <c r="F224">
        <v>0</v>
      </c>
      <c r="G224" s="1" t="str">
        <f>VLOOKUP(F224,定義!$A$2:$C$4,2,FALSE)</f>
        <v>ダメージ</v>
      </c>
      <c r="H224">
        <v>0</v>
      </c>
      <c r="I224" s="1" t="str">
        <f>VLOOKUP(H224,定義!$A$2:$C$4,3,FALSE)</f>
        <v>敵</v>
      </c>
      <c r="J224">
        <v>100</v>
      </c>
      <c r="K224" s="2">
        <v>1000</v>
      </c>
      <c r="L224" s="1">
        <f t="shared" si="4"/>
        <v>100</v>
      </c>
    </row>
    <row r="225" spans="1:12">
      <c r="A225" s="1">
        <f>VLOOKUP(B225,[1]SkillName!$A:$B,2,FALSE)</f>
        <v>0</v>
      </c>
      <c r="B225">
        <v>223</v>
      </c>
      <c r="C225" t="s">
        <v>221</v>
      </c>
      <c r="D225" s="2">
        <v>0</v>
      </c>
      <c r="E225" s="1" t="str">
        <f>VLOOKUP(D225,定義!$A$2:$D$4,4,FALSE)</f>
        <v>無_物理</v>
      </c>
      <c r="F225">
        <v>0</v>
      </c>
      <c r="G225" s="1" t="str">
        <f>VLOOKUP(F225,定義!$A$2:$C$4,2,FALSE)</f>
        <v>ダメージ</v>
      </c>
      <c r="H225">
        <v>0</v>
      </c>
      <c r="I225" s="1" t="str">
        <f>VLOOKUP(H225,定義!$A$2:$C$4,3,FALSE)</f>
        <v>敵</v>
      </c>
      <c r="J225">
        <v>100</v>
      </c>
      <c r="K225" s="2">
        <v>1000</v>
      </c>
      <c r="L225" s="1">
        <f t="shared" si="4"/>
        <v>100</v>
      </c>
    </row>
    <row r="226" spans="1:12">
      <c r="A226" s="1">
        <f>VLOOKUP(B226,[1]SkillName!$A:$B,2,FALSE)</f>
        <v>0</v>
      </c>
      <c r="B226">
        <v>224</v>
      </c>
      <c r="C226" t="s">
        <v>222</v>
      </c>
      <c r="D226" s="2">
        <v>0</v>
      </c>
      <c r="E226" s="1" t="str">
        <f>VLOOKUP(D226,定義!$A$2:$D$4,4,FALSE)</f>
        <v>無_物理</v>
      </c>
      <c r="F226">
        <v>0</v>
      </c>
      <c r="G226" s="1" t="str">
        <f>VLOOKUP(F226,定義!$A$2:$C$4,2,FALSE)</f>
        <v>ダメージ</v>
      </c>
      <c r="H226">
        <v>0</v>
      </c>
      <c r="I226" s="1" t="str">
        <f>VLOOKUP(H226,定義!$A$2:$C$4,3,FALSE)</f>
        <v>敵</v>
      </c>
      <c r="J226">
        <v>100</v>
      </c>
      <c r="K226" s="2">
        <v>1000</v>
      </c>
      <c r="L226" s="1">
        <f t="shared" si="4"/>
        <v>100</v>
      </c>
    </row>
    <row r="227" spans="1:12">
      <c r="A227" s="1">
        <f>VLOOKUP(B227,[1]SkillName!$A:$B,2,FALSE)</f>
        <v>0</v>
      </c>
      <c r="B227">
        <v>225</v>
      </c>
      <c r="C227" t="s">
        <v>223</v>
      </c>
      <c r="D227" s="2">
        <v>0</v>
      </c>
      <c r="E227" s="1" t="str">
        <f>VLOOKUP(D227,定義!$A$2:$D$4,4,FALSE)</f>
        <v>無_物理</v>
      </c>
      <c r="F227">
        <v>0</v>
      </c>
      <c r="G227" s="1" t="str">
        <f>VLOOKUP(F227,定義!$A$2:$C$4,2,FALSE)</f>
        <v>ダメージ</v>
      </c>
      <c r="H227">
        <v>0</v>
      </c>
      <c r="I227" s="1" t="str">
        <f>VLOOKUP(H227,定義!$A$2:$C$4,3,FALSE)</f>
        <v>敵</v>
      </c>
      <c r="J227">
        <v>100</v>
      </c>
      <c r="K227" s="2">
        <v>1000</v>
      </c>
      <c r="L227" s="1">
        <f t="shared" si="4"/>
        <v>100</v>
      </c>
    </row>
    <row r="228" spans="1:12">
      <c r="A228" s="1">
        <f>VLOOKUP(B228,[1]SkillName!$A:$B,2,FALSE)</f>
        <v>0</v>
      </c>
      <c r="B228">
        <v>226</v>
      </c>
      <c r="C228" t="s">
        <v>224</v>
      </c>
      <c r="D228" s="2">
        <v>0</v>
      </c>
      <c r="E228" s="1" t="str">
        <f>VLOOKUP(D228,定義!$A$2:$D$4,4,FALSE)</f>
        <v>無_物理</v>
      </c>
      <c r="F228">
        <v>0</v>
      </c>
      <c r="G228" s="1" t="str">
        <f>VLOOKUP(F228,定義!$A$2:$C$4,2,FALSE)</f>
        <v>ダメージ</v>
      </c>
      <c r="H228">
        <v>0</v>
      </c>
      <c r="I228" s="1" t="str">
        <f>VLOOKUP(H228,定義!$A$2:$C$4,3,FALSE)</f>
        <v>敵</v>
      </c>
      <c r="J228">
        <v>100</v>
      </c>
      <c r="K228" s="2">
        <v>1000</v>
      </c>
      <c r="L228" s="1">
        <f t="shared" si="4"/>
        <v>100</v>
      </c>
    </row>
    <row r="229" spans="1:12">
      <c r="A229" s="1">
        <f>VLOOKUP(B229,[1]SkillName!$A:$B,2,FALSE)</f>
        <v>0</v>
      </c>
      <c r="B229">
        <v>227</v>
      </c>
      <c r="C229" t="s">
        <v>225</v>
      </c>
      <c r="D229" s="2">
        <v>0</v>
      </c>
      <c r="E229" s="1" t="str">
        <f>VLOOKUP(D229,定義!$A$2:$D$4,4,FALSE)</f>
        <v>無_物理</v>
      </c>
      <c r="F229">
        <v>0</v>
      </c>
      <c r="G229" s="1" t="str">
        <f>VLOOKUP(F229,定義!$A$2:$C$4,2,FALSE)</f>
        <v>ダメージ</v>
      </c>
      <c r="H229">
        <v>0</v>
      </c>
      <c r="I229" s="1" t="str">
        <f>VLOOKUP(H229,定義!$A$2:$C$4,3,FALSE)</f>
        <v>敵</v>
      </c>
      <c r="J229">
        <v>100</v>
      </c>
      <c r="K229" s="2">
        <v>1000</v>
      </c>
      <c r="L229" s="1">
        <f t="shared" si="4"/>
        <v>100</v>
      </c>
    </row>
    <row r="230" spans="1:12">
      <c r="A230" s="1">
        <f>VLOOKUP(B230,[1]SkillName!$A:$B,2,FALSE)</f>
        <v>0</v>
      </c>
      <c r="B230">
        <v>228</v>
      </c>
      <c r="C230" t="s">
        <v>226</v>
      </c>
      <c r="D230" s="2">
        <v>0</v>
      </c>
      <c r="E230" s="1" t="str">
        <f>VLOOKUP(D230,定義!$A$2:$D$4,4,FALSE)</f>
        <v>無_物理</v>
      </c>
      <c r="F230">
        <v>0</v>
      </c>
      <c r="G230" s="1" t="str">
        <f>VLOOKUP(F230,定義!$A$2:$C$4,2,FALSE)</f>
        <v>ダメージ</v>
      </c>
      <c r="H230">
        <v>0</v>
      </c>
      <c r="I230" s="1" t="str">
        <f>VLOOKUP(H230,定義!$A$2:$C$4,3,FALSE)</f>
        <v>敵</v>
      </c>
      <c r="J230">
        <v>100</v>
      </c>
      <c r="K230" s="2">
        <v>1000</v>
      </c>
      <c r="L230" s="1">
        <f t="shared" si="4"/>
        <v>100</v>
      </c>
    </row>
    <row r="231" spans="1:12">
      <c r="A231" s="1">
        <f>VLOOKUP(B231,[1]SkillName!$A:$B,2,FALSE)</f>
        <v>0</v>
      </c>
      <c r="B231">
        <v>229</v>
      </c>
      <c r="C231" t="s">
        <v>227</v>
      </c>
      <c r="D231" s="2">
        <v>0</v>
      </c>
      <c r="E231" s="1" t="str">
        <f>VLOOKUP(D231,定義!$A$2:$D$4,4,FALSE)</f>
        <v>無_物理</v>
      </c>
      <c r="F231">
        <v>0</v>
      </c>
      <c r="G231" s="1" t="str">
        <f>VLOOKUP(F231,定義!$A$2:$C$4,2,FALSE)</f>
        <v>ダメージ</v>
      </c>
      <c r="H231">
        <v>0</v>
      </c>
      <c r="I231" s="1" t="str">
        <f>VLOOKUP(H231,定義!$A$2:$C$4,3,FALSE)</f>
        <v>敵</v>
      </c>
      <c r="J231">
        <v>100</v>
      </c>
      <c r="K231" s="2">
        <v>1000</v>
      </c>
      <c r="L231" s="1">
        <f t="shared" si="4"/>
        <v>100</v>
      </c>
    </row>
    <row r="232" spans="1:12">
      <c r="A232" s="1">
        <f>VLOOKUP(B232,[1]SkillName!$A:$B,2,FALSE)</f>
        <v>0</v>
      </c>
      <c r="B232">
        <v>230</v>
      </c>
      <c r="C232" t="s">
        <v>228</v>
      </c>
      <c r="D232" s="2">
        <v>0</v>
      </c>
      <c r="E232" s="1" t="str">
        <f>VLOOKUP(D232,定義!$A$2:$D$4,4,FALSE)</f>
        <v>無_物理</v>
      </c>
      <c r="F232">
        <v>0</v>
      </c>
      <c r="G232" s="1" t="str">
        <f>VLOOKUP(F232,定義!$A$2:$C$4,2,FALSE)</f>
        <v>ダメージ</v>
      </c>
      <c r="H232">
        <v>0</v>
      </c>
      <c r="I232" s="1" t="str">
        <f>VLOOKUP(H232,定義!$A$2:$C$4,3,FALSE)</f>
        <v>敵</v>
      </c>
      <c r="J232">
        <v>100</v>
      </c>
      <c r="K232" s="2">
        <v>1000</v>
      </c>
      <c r="L232" s="1">
        <f t="shared" si="4"/>
        <v>100</v>
      </c>
    </row>
    <row r="233" spans="1:12">
      <c r="A233" s="1">
        <f>VLOOKUP(B233,[1]SkillName!$A:$B,2,FALSE)</f>
        <v>0</v>
      </c>
      <c r="B233">
        <v>231</v>
      </c>
      <c r="C233" t="s">
        <v>229</v>
      </c>
      <c r="D233" s="2">
        <v>0</v>
      </c>
      <c r="E233" s="1" t="str">
        <f>VLOOKUP(D233,定義!$A$2:$D$4,4,FALSE)</f>
        <v>無_物理</v>
      </c>
      <c r="F233">
        <v>0</v>
      </c>
      <c r="G233" s="1" t="str">
        <f>VLOOKUP(F233,定義!$A$2:$C$4,2,FALSE)</f>
        <v>ダメージ</v>
      </c>
      <c r="H233">
        <v>0</v>
      </c>
      <c r="I233" s="1" t="str">
        <f>VLOOKUP(H233,定義!$A$2:$C$4,3,FALSE)</f>
        <v>敵</v>
      </c>
      <c r="J233">
        <v>100</v>
      </c>
      <c r="K233" s="2">
        <v>1000</v>
      </c>
      <c r="L233" s="1">
        <f t="shared" si="4"/>
        <v>100</v>
      </c>
    </row>
    <row r="234" spans="1:12">
      <c r="A234" s="1">
        <f>VLOOKUP(B234,[1]SkillName!$A:$B,2,FALSE)</f>
        <v>0</v>
      </c>
      <c r="B234">
        <v>232</v>
      </c>
      <c r="C234" t="s">
        <v>230</v>
      </c>
      <c r="D234" s="2">
        <v>0</v>
      </c>
      <c r="E234" s="1" t="str">
        <f>VLOOKUP(D234,定義!$A$2:$D$4,4,FALSE)</f>
        <v>無_物理</v>
      </c>
      <c r="F234">
        <v>0</v>
      </c>
      <c r="G234" s="1" t="str">
        <f>VLOOKUP(F234,定義!$A$2:$C$4,2,FALSE)</f>
        <v>ダメージ</v>
      </c>
      <c r="H234">
        <v>0</v>
      </c>
      <c r="I234" s="1" t="str">
        <f>VLOOKUP(H234,定義!$A$2:$C$4,3,FALSE)</f>
        <v>敵</v>
      </c>
      <c r="J234">
        <v>100</v>
      </c>
      <c r="K234" s="2">
        <v>1000</v>
      </c>
      <c r="L234" s="1">
        <f t="shared" si="4"/>
        <v>100</v>
      </c>
    </row>
    <row r="235" spans="1:12">
      <c r="A235" s="1">
        <f>VLOOKUP(B235,[1]SkillName!$A:$B,2,FALSE)</f>
        <v>0</v>
      </c>
      <c r="B235">
        <v>233</v>
      </c>
      <c r="C235" t="s">
        <v>231</v>
      </c>
      <c r="D235" s="2">
        <v>0</v>
      </c>
      <c r="E235" s="1" t="str">
        <f>VLOOKUP(D235,定義!$A$2:$D$4,4,FALSE)</f>
        <v>無_物理</v>
      </c>
      <c r="F235">
        <v>0</v>
      </c>
      <c r="G235" s="1" t="str">
        <f>VLOOKUP(F235,定義!$A$2:$C$4,2,FALSE)</f>
        <v>ダメージ</v>
      </c>
      <c r="H235">
        <v>0</v>
      </c>
      <c r="I235" s="1" t="str">
        <f>VLOOKUP(H235,定義!$A$2:$C$4,3,FALSE)</f>
        <v>敵</v>
      </c>
      <c r="J235">
        <v>100</v>
      </c>
      <c r="K235" s="2">
        <v>1000</v>
      </c>
      <c r="L235" s="1">
        <f t="shared" si="4"/>
        <v>100</v>
      </c>
    </row>
    <row r="236" spans="1:12">
      <c r="A236" s="1">
        <f>VLOOKUP(B236,[1]SkillName!$A:$B,2,FALSE)</f>
        <v>0</v>
      </c>
      <c r="B236">
        <v>234</v>
      </c>
      <c r="C236" t="s">
        <v>232</v>
      </c>
      <c r="D236" s="2">
        <v>0</v>
      </c>
      <c r="E236" s="1" t="str">
        <f>VLOOKUP(D236,定義!$A$2:$D$4,4,FALSE)</f>
        <v>無_物理</v>
      </c>
      <c r="F236">
        <v>0</v>
      </c>
      <c r="G236" s="1" t="str">
        <f>VLOOKUP(F236,定義!$A$2:$C$4,2,FALSE)</f>
        <v>ダメージ</v>
      </c>
      <c r="H236">
        <v>0</v>
      </c>
      <c r="I236" s="1" t="str">
        <f>VLOOKUP(H236,定義!$A$2:$C$4,3,FALSE)</f>
        <v>敵</v>
      </c>
      <c r="J236">
        <v>100</v>
      </c>
      <c r="K236" s="2">
        <v>1000</v>
      </c>
      <c r="L236" s="1">
        <f t="shared" si="4"/>
        <v>100</v>
      </c>
    </row>
    <row r="237" spans="1:12">
      <c r="A237" s="1">
        <f>VLOOKUP(B237,[1]SkillName!$A:$B,2,FALSE)</f>
        <v>0</v>
      </c>
      <c r="B237">
        <v>235</v>
      </c>
      <c r="C237" t="s">
        <v>233</v>
      </c>
      <c r="D237" s="2">
        <v>0</v>
      </c>
      <c r="E237" s="1" t="str">
        <f>VLOOKUP(D237,定義!$A$2:$D$4,4,FALSE)</f>
        <v>無_物理</v>
      </c>
      <c r="F237">
        <v>0</v>
      </c>
      <c r="G237" s="1" t="str">
        <f>VLOOKUP(F237,定義!$A$2:$C$4,2,FALSE)</f>
        <v>ダメージ</v>
      </c>
      <c r="H237">
        <v>0</v>
      </c>
      <c r="I237" s="1" t="str">
        <f>VLOOKUP(H237,定義!$A$2:$C$4,3,FALSE)</f>
        <v>敵</v>
      </c>
      <c r="J237">
        <v>100</v>
      </c>
      <c r="K237" s="2">
        <v>1000</v>
      </c>
      <c r="L237" s="1">
        <f t="shared" si="4"/>
        <v>100</v>
      </c>
    </row>
    <row r="238" spans="1:12">
      <c r="A238" s="1">
        <f>VLOOKUP(B238,[1]SkillName!$A:$B,2,FALSE)</f>
        <v>0</v>
      </c>
      <c r="B238">
        <v>236</v>
      </c>
      <c r="C238" t="s">
        <v>234</v>
      </c>
      <c r="D238" s="2">
        <v>0</v>
      </c>
      <c r="E238" s="1" t="str">
        <f>VLOOKUP(D238,定義!$A$2:$D$4,4,FALSE)</f>
        <v>無_物理</v>
      </c>
      <c r="F238">
        <v>0</v>
      </c>
      <c r="G238" s="1" t="str">
        <f>VLOOKUP(F238,定義!$A$2:$C$4,2,FALSE)</f>
        <v>ダメージ</v>
      </c>
      <c r="H238">
        <v>0</v>
      </c>
      <c r="I238" s="1" t="str">
        <f>VLOOKUP(H238,定義!$A$2:$C$4,3,FALSE)</f>
        <v>敵</v>
      </c>
      <c r="J238">
        <v>100</v>
      </c>
      <c r="K238" s="2">
        <v>1000</v>
      </c>
      <c r="L238" s="1">
        <f t="shared" si="4"/>
        <v>100</v>
      </c>
    </row>
    <row r="239" spans="1:12">
      <c r="A239" s="1">
        <f>VLOOKUP(B239,[1]SkillName!$A:$B,2,FALSE)</f>
        <v>0</v>
      </c>
      <c r="B239">
        <v>237</v>
      </c>
      <c r="C239" t="s">
        <v>235</v>
      </c>
      <c r="D239" s="2">
        <v>0</v>
      </c>
      <c r="E239" s="1" t="str">
        <f>VLOOKUP(D239,定義!$A$2:$D$4,4,FALSE)</f>
        <v>無_物理</v>
      </c>
      <c r="F239">
        <v>0</v>
      </c>
      <c r="G239" s="1" t="str">
        <f>VLOOKUP(F239,定義!$A$2:$C$4,2,FALSE)</f>
        <v>ダメージ</v>
      </c>
      <c r="H239">
        <v>0</v>
      </c>
      <c r="I239" s="1" t="str">
        <f>VLOOKUP(H239,定義!$A$2:$C$4,3,FALSE)</f>
        <v>敵</v>
      </c>
      <c r="J239">
        <v>100</v>
      </c>
      <c r="K239" s="2">
        <v>1000</v>
      </c>
      <c r="L239" s="1">
        <f t="shared" si="4"/>
        <v>100</v>
      </c>
    </row>
    <row r="240" spans="1:12">
      <c r="A240" s="1">
        <f>VLOOKUP(B240,[1]SkillName!$A:$B,2,FALSE)</f>
        <v>0</v>
      </c>
      <c r="B240">
        <v>238</v>
      </c>
      <c r="C240" t="s">
        <v>236</v>
      </c>
      <c r="D240" s="2">
        <v>0</v>
      </c>
      <c r="E240" s="1" t="str">
        <f>VLOOKUP(D240,定義!$A$2:$D$4,4,FALSE)</f>
        <v>無_物理</v>
      </c>
      <c r="F240">
        <v>0</v>
      </c>
      <c r="G240" s="1" t="str">
        <f>VLOOKUP(F240,定義!$A$2:$C$4,2,FALSE)</f>
        <v>ダメージ</v>
      </c>
      <c r="H240">
        <v>0</v>
      </c>
      <c r="I240" s="1" t="str">
        <f>VLOOKUP(H240,定義!$A$2:$C$4,3,FALSE)</f>
        <v>敵</v>
      </c>
      <c r="J240">
        <v>100</v>
      </c>
      <c r="K240" s="2">
        <v>1000</v>
      </c>
      <c r="L240" s="1">
        <f t="shared" si="4"/>
        <v>100</v>
      </c>
    </row>
    <row r="241" spans="1:12">
      <c r="A241" s="1">
        <f>VLOOKUP(B241,[1]SkillName!$A:$B,2,FALSE)</f>
        <v>0</v>
      </c>
      <c r="B241">
        <v>239</v>
      </c>
      <c r="C241" t="s">
        <v>237</v>
      </c>
      <c r="D241" s="2">
        <v>0</v>
      </c>
      <c r="E241" s="1" t="str">
        <f>VLOOKUP(D241,定義!$A$2:$D$4,4,FALSE)</f>
        <v>無_物理</v>
      </c>
      <c r="F241">
        <v>0</v>
      </c>
      <c r="G241" s="1" t="str">
        <f>VLOOKUP(F241,定義!$A$2:$C$4,2,FALSE)</f>
        <v>ダメージ</v>
      </c>
      <c r="H241">
        <v>0</v>
      </c>
      <c r="I241" s="1" t="str">
        <f>VLOOKUP(H241,定義!$A$2:$C$4,3,FALSE)</f>
        <v>敵</v>
      </c>
      <c r="J241">
        <v>100</v>
      </c>
      <c r="K241" s="2">
        <v>1000</v>
      </c>
      <c r="L241" s="1">
        <f t="shared" si="4"/>
        <v>100</v>
      </c>
    </row>
    <row r="242" spans="1:12">
      <c r="A242" s="1">
        <f>VLOOKUP(B242,[1]SkillName!$A:$B,2,FALSE)</f>
        <v>0</v>
      </c>
      <c r="B242">
        <v>240</v>
      </c>
      <c r="C242" t="s">
        <v>238</v>
      </c>
      <c r="D242" s="2">
        <v>0</v>
      </c>
      <c r="E242" s="1" t="str">
        <f>VLOOKUP(D242,定義!$A$2:$D$4,4,FALSE)</f>
        <v>無_物理</v>
      </c>
      <c r="F242">
        <v>0</v>
      </c>
      <c r="G242" s="1" t="str">
        <f>VLOOKUP(F242,定義!$A$2:$C$4,2,FALSE)</f>
        <v>ダメージ</v>
      </c>
      <c r="H242">
        <v>0</v>
      </c>
      <c r="I242" s="1" t="str">
        <f>VLOOKUP(H242,定義!$A$2:$C$4,3,FALSE)</f>
        <v>敵</v>
      </c>
      <c r="J242">
        <v>100</v>
      </c>
      <c r="K242" s="2">
        <v>1000</v>
      </c>
      <c r="L242" s="1">
        <f t="shared" si="4"/>
        <v>100</v>
      </c>
    </row>
    <row r="243" spans="1:12">
      <c r="A243" s="1">
        <f>VLOOKUP(B243,[1]SkillName!$A:$B,2,FALSE)</f>
        <v>0</v>
      </c>
      <c r="B243">
        <v>241</v>
      </c>
      <c r="C243" t="s">
        <v>239</v>
      </c>
      <c r="D243" s="2">
        <v>0</v>
      </c>
      <c r="E243" s="1" t="str">
        <f>VLOOKUP(D243,定義!$A$2:$D$4,4,FALSE)</f>
        <v>無_物理</v>
      </c>
      <c r="F243">
        <v>0</v>
      </c>
      <c r="G243" s="1" t="str">
        <f>VLOOKUP(F243,定義!$A$2:$C$4,2,FALSE)</f>
        <v>ダメージ</v>
      </c>
      <c r="H243">
        <v>0</v>
      </c>
      <c r="I243" s="1" t="str">
        <f>VLOOKUP(H243,定義!$A$2:$C$4,3,FALSE)</f>
        <v>敵</v>
      </c>
      <c r="J243">
        <v>100</v>
      </c>
      <c r="K243" s="2">
        <v>1000</v>
      </c>
      <c r="L243" s="1">
        <f t="shared" si="4"/>
        <v>100</v>
      </c>
    </row>
    <row r="244" spans="1:12">
      <c r="A244" s="1">
        <f>VLOOKUP(B244,[1]SkillName!$A:$B,2,FALSE)</f>
        <v>0</v>
      </c>
      <c r="B244">
        <v>242</v>
      </c>
      <c r="C244" t="s">
        <v>240</v>
      </c>
      <c r="D244" s="2">
        <v>0</v>
      </c>
      <c r="E244" s="1" t="str">
        <f>VLOOKUP(D244,定義!$A$2:$D$4,4,FALSE)</f>
        <v>無_物理</v>
      </c>
      <c r="F244">
        <v>0</v>
      </c>
      <c r="G244" s="1" t="str">
        <f>VLOOKUP(F244,定義!$A$2:$C$4,2,FALSE)</f>
        <v>ダメージ</v>
      </c>
      <c r="H244">
        <v>0</v>
      </c>
      <c r="I244" s="1" t="str">
        <f>VLOOKUP(H244,定義!$A$2:$C$4,3,FALSE)</f>
        <v>敵</v>
      </c>
      <c r="J244">
        <v>100</v>
      </c>
      <c r="K244" s="2">
        <v>1000</v>
      </c>
      <c r="L244" s="1">
        <f t="shared" si="4"/>
        <v>100</v>
      </c>
    </row>
    <row r="245" spans="1:12">
      <c r="A245" s="1">
        <f>VLOOKUP(B245,[1]SkillName!$A:$B,2,FALSE)</f>
        <v>0</v>
      </c>
      <c r="B245">
        <v>243</v>
      </c>
      <c r="C245" t="s">
        <v>241</v>
      </c>
      <c r="D245" s="2">
        <v>0</v>
      </c>
      <c r="E245" s="1" t="str">
        <f>VLOOKUP(D245,定義!$A$2:$D$4,4,FALSE)</f>
        <v>無_物理</v>
      </c>
      <c r="F245">
        <v>0</v>
      </c>
      <c r="G245" s="1" t="str">
        <f>VLOOKUP(F245,定義!$A$2:$C$4,2,FALSE)</f>
        <v>ダメージ</v>
      </c>
      <c r="H245">
        <v>0</v>
      </c>
      <c r="I245" s="1" t="str">
        <f>VLOOKUP(H245,定義!$A$2:$C$4,3,FALSE)</f>
        <v>敵</v>
      </c>
      <c r="J245">
        <v>100</v>
      </c>
      <c r="K245" s="2">
        <v>1000</v>
      </c>
      <c r="L245" s="1">
        <f t="shared" si="4"/>
        <v>100</v>
      </c>
    </row>
    <row r="246" spans="1:12">
      <c r="A246" s="1">
        <f>VLOOKUP(B246,[1]SkillName!$A:$B,2,FALSE)</f>
        <v>0</v>
      </c>
      <c r="B246">
        <v>244</v>
      </c>
      <c r="C246" t="s">
        <v>242</v>
      </c>
      <c r="D246" s="2">
        <v>0</v>
      </c>
      <c r="E246" s="1" t="str">
        <f>VLOOKUP(D246,定義!$A$2:$D$4,4,FALSE)</f>
        <v>無_物理</v>
      </c>
      <c r="F246">
        <v>0</v>
      </c>
      <c r="G246" s="1" t="str">
        <f>VLOOKUP(F246,定義!$A$2:$C$4,2,FALSE)</f>
        <v>ダメージ</v>
      </c>
      <c r="H246">
        <v>0</v>
      </c>
      <c r="I246" s="1" t="str">
        <f>VLOOKUP(H246,定義!$A$2:$C$4,3,FALSE)</f>
        <v>敵</v>
      </c>
      <c r="J246">
        <v>100</v>
      </c>
      <c r="K246" s="2">
        <v>1000</v>
      </c>
      <c r="L246" s="1">
        <f t="shared" si="4"/>
        <v>100</v>
      </c>
    </row>
    <row r="247" spans="1:12">
      <c r="A247" s="1">
        <f>VLOOKUP(B247,[1]SkillName!$A:$B,2,FALSE)</f>
        <v>0</v>
      </c>
      <c r="B247">
        <v>245</v>
      </c>
      <c r="C247" t="s">
        <v>243</v>
      </c>
      <c r="D247" s="2">
        <v>0</v>
      </c>
      <c r="E247" s="1" t="str">
        <f>VLOOKUP(D247,定義!$A$2:$D$4,4,FALSE)</f>
        <v>無_物理</v>
      </c>
      <c r="F247">
        <v>0</v>
      </c>
      <c r="G247" s="1" t="str">
        <f>VLOOKUP(F247,定義!$A$2:$C$4,2,FALSE)</f>
        <v>ダメージ</v>
      </c>
      <c r="H247">
        <v>0</v>
      </c>
      <c r="I247" s="1" t="str">
        <f>VLOOKUP(H247,定義!$A$2:$C$4,3,FALSE)</f>
        <v>敵</v>
      </c>
      <c r="J247">
        <v>100</v>
      </c>
      <c r="K247" s="2">
        <v>1000</v>
      </c>
      <c r="L247" s="1">
        <f t="shared" si="4"/>
        <v>100</v>
      </c>
    </row>
    <row r="248" spans="1:12">
      <c r="A248" s="1">
        <f>VLOOKUP(B248,[1]SkillName!$A:$B,2,FALSE)</f>
        <v>0</v>
      </c>
      <c r="B248">
        <v>246</v>
      </c>
      <c r="C248" t="s">
        <v>244</v>
      </c>
      <c r="D248" s="2">
        <v>0</v>
      </c>
      <c r="E248" s="1" t="str">
        <f>VLOOKUP(D248,定義!$A$2:$D$4,4,FALSE)</f>
        <v>無_物理</v>
      </c>
      <c r="F248">
        <v>0</v>
      </c>
      <c r="G248" s="1" t="str">
        <f>VLOOKUP(F248,定義!$A$2:$C$4,2,FALSE)</f>
        <v>ダメージ</v>
      </c>
      <c r="H248">
        <v>0</v>
      </c>
      <c r="I248" s="1" t="str">
        <f>VLOOKUP(H248,定義!$A$2:$C$4,3,FALSE)</f>
        <v>敵</v>
      </c>
      <c r="J248">
        <v>100</v>
      </c>
      <c r="K248" s="2">
        <v>1000</v>
      </c>
      <c r="L248" s="1">
        <f t="shared" si="4"/>
        <v>100</v>
      </c>
    </row>
    <row r="249" spans="1:12">
      <c r="A249" s="1">
        <f>VLOOKUP(B249,[1]SkillName!$A:$B,2,FALSE)</f>
        <v>0</v>
      </c>
      <c r="B249">
        <v>247</v>
      </c>
      <c r="C249" t="s">
        <v>245</v>
      </c>
      <c r="D249" s="2">
        <v>0</v>
      </c>
      <c r="E249" s="1" t="str">
        <f>VLOOKUP(D249,定義!$A$2:$D$4,4,FALSE)</f>
        <v>無_物理</v>
      </c>
      <c r="F249">
        <v>0</v>
      </c>
      <c r="G249" s="1" t="str">
        <f>VLOOKUP(F249,定義!$A$2:$C$4,2,FALSE)</f>
        <v>ダメージ</v>
      </c>
      <c r="H249">
        <v>0</v>
      </c>
      <c r="I249" s="1" t="str">
        <f>VLOOKUP(H249,定義!$A$2:$C$4,3,FALSE)</f>
        <v>敵</v>
      </c>
      <c r="J249">
        <v>100</v>
      </c>
      <c r="K249" s="2">
        <v>1000</v>
      </c>
      <c r="L249" s="1">
        <f t="shared" si="4"/>
        <v>100</v>
      </c>
    </row>
    <row r="250" spans="1:12">
      <c r="A250" s="1">
        <f>VLOOKUP(B250,[1]SkillName!$A:$B,2,FALSE)</f>
        <v>0</v>
      </c>
      <c r="B250">
        <v>248</v>
      </c>
      <c r="C250" t="s">
        <v>246</v>
      </c>
      <c r="D250" s="2">
        <v>0</v>
      </c>
      <c r="E250" s="1" t="str">
        <f>VLOOKUP(D250,定義!$A$2:$D$4,4,FALSE)</f>
        <v>無_物理</v>
      </c>
      <c r="F250">
        <v>0</v>
      </c>
      <c r="G250" s="1" t="str">
        <f>VLOOKUP(F250,定義!$A$2:$C$4,2,FALSE)</f>
        <v>ダメージ</v>
      </c>
      <c r="H250">
        <v>0</v>
      </c>
      <c r="I250" s="1" t="str">
        <f>VLOOKUP(H250,定義!$A$2:$C$4,3,FALSE)</f>
        <v>敵</v>
      </c>
      <c r="J250">
        <v>100</v>
      </c>
      <c r="K250" s="2">
        <v>1000</v>
      </c>
      <c r="L250" s="1">
        <f t="shared" si="4"/>
        <v>100</v>
      </c>
    </row>
    <row r="251" spans="1:12">
      <c r="A251" s="1">
        <f>VLOOKUP(B251,[1]SkillName!$A:$B,2,FALSE)</f>
        <v>0</v>
      </c>
      <c r="B251">
        <v>249</v>
      </c>
      <c r="C251" t="s">
        <v>247</v>
      </c>
      <c r="D251" s="2">
        <v>0</v>
      </c>
      <c r="E251" s="1" t="str">
        <f>VLOOKUP(D251,定義!$A$2:$D$4,4,FALSE)</f>
        <v>無_物理</v>
      </c>
      <c r="F251">
        <v>0</v>
      </c>
      <c r="G251" s="1" t="str">
        <f>VLOOKUP(F251,定義!$A$2:$C$4,2,FALSE)</f>
        <v>ダメージ</v>
      </c>
      <c r="H251">
        <v>0</v>
      </c>
      <c r="I251" s="1" t="str">
        <f>VLOOKUP(H251,定義!$A$2:$C$4,3,FALSE)</f>
        <v>敵</v>
      </c>
      <c r="J251">
        <v>100</v>
      </c>
      <c r="K251" s="2">
        <v>1000</v>
      </c>
      <c r="L251" s="1">
        <f t="shared" si="4"/>
        <v>100</v>
      </c>
    </row>
    <row r="252" spans="1:12">
      <c r="A252" s="1">
        <f>VLOOKUP(B252,[1]SkillName!$A:$B,2,FALSE)</f>
        <v>0</v>
      </c>
      <c r="B252">
        <v>250</v>
      </c>
      <c r="C252" t="s">
        <v>248</v>
      </c>
      <c r="D252" s="2">
        <v>0</v>
      </c>
      <c r="E252" s="1" t="str">
        <f>VLOOKUP(D252,定義!$A$2:$D$4,4,FALSE)</f>
        <v>無_物理</v>
      </c>
      <c r="F252">
        <v>0</v>
      </c>
      <c r="G252" s="1" t="str">
        <f>VLOOKUP(F252,定義!$A$2:$C$4,2,FALSE)</f>
        <v>ダメージ</v>
      </c>
      <c r="H252">
        <v>0</v>
      </c>
      <c r="I252" s="1" t="str">
        <f>VLOOKUP(H252,定義!$A$2:$C$4,3,FALSE)</f>
        <v>敵</v>
      </c>
      <c r="J252">
        <v>100</v>
      </c>
      <c r="K252" s="2">
        <v>1000</v>
      </c>
      <c r="L252" s="1">
        <f t="shared" si="4"/>
        <v>100</v>
      </c>
    </row>
    <row r="253" spans="1:12">
      <c r="A253" s="1">
        <f>VLOOKUP(B253,[1]SkillName!$A:$B,2,FALSE)</f>
        <v>0</v>
      </c>
      <c r="B253">
        <v>251</v>
      </c>
      <c r="C253" t="s">
        <v>249</v>
      </c>
      <c r="D253" s="2">
        <v>0</v>
      </c>
      <c r="E253" s="1" t="str">
        <f>VLOOKUP(D253,定義!$A$2:$D$4,4,FALSE)</f>
        <v>無_物理</v>
      </c>
      <c r="F253">
        <v>0</v>
      </c>
      <c r="G253" s="1" t="str">
        <f>VLOOKUP(F253,定義!$A$2:$C$4,2,FALSE)</f>
        <v>ダメージ</v>
      </c>
      <c r="H253">
        <v>0</v>
      </c>
      <c r="I253" s="1" t="str">
        <f>VLOOKUP(H253,定義!$A$2:$C$4,3,FALSE)</f>
        <v>敵</v>
      </c>
      <c r="J253">
        <v>100</v>
      </c>
      <c r="K253" s="2">
        <v>1000</v>
      </c>
      <c r="L253" s="1">
        <f t="shared" si="4"/>
        <v>100</v>
      </c>
    </row>
    <row r="254" spans="1:12">
      <c r="A254" s="1">
        <f>VLOOKUP(B254,[1]SkillName!$A:$B,2,FALSE)</f>
        <v>0</v>
      </c>
      <c r="B254">
        <v>252</v>
      </c>
      <c r="C254" t="s">
        <v>250</v>
      </c>
      <c r="D254" s="2">
        <v>0</v>
      </c>
      <c r="E254" s="1" t="str">
        <f>VLOOKUP(D254,定義!$A$2:$D$4,4,FALSE)</f>
        <v>無_物理</v>
      </c>
      <c r="F254">
        <v>0</v>
      </c>
      <c r="G254" s="1" t="str">
        <f>VLOOKUP(F254,定義!$A$2:$C$4,2,FALSE)</f>
        <v>ダメージ</v>
      </c>
      <c r="H254">
        <v>0</v>
      </c>
      <c r="I254" s="1" t="str">
        <f>VLOOKUP(H254,定義!$A$2:$C$4,3,FALSE)</f>
        <v>敵</v>
      </c>
      <c r="J254">
        <v>100</v>
      </c>
      <c r="K254" s="2">
        <v>1000</v>
      </c>
      <c r="L254" s="1">
        <f t="shared" si="4"/>
        <v>100</v>
      </c>
    </row>
    <row r="255" spans="1:12">
      <c r="A255" s="1">
        <f>VLOOKUP(B255,[1]SkillName!$A:$B,2,FALSE)</f>
        <v>0</v>
      </c>
      <c r="B255">
        <v>253</v>
      </c>
      <c r="C255" t="s">
        <v>251</v>
      </c>
      <c r="D255" s="2">
        <v>0</v>
      </c>
      <c r="E255" s="1" t="str">
        <f>VLOOKUP(D255,定義!$A$2:$D$4,4,FALSE)</f>
        <v>無_物理</v>
      </c>
      <c r="F255">
        <v>0</v>
      </c>
      <c r="G255" s="1" t="str">
        <f>VLOOKUP(F255,定義!$A$2:$C$4,2,FALSE)</f>
        <v>ダメージ</v>
      </c>
      <c r="H255">
        <v>0</v>
      </c>
      <c r="I255" s="1" t="str">
        <f>VLOOKUP(H255,定義!$A$2:$C$4,3,FALSE)</f>
        <v>敵</v>
      </c>
      <c r="J255">
        <v>100</v>
      </c>
      <c r="K255" s="2">
        <v>1000</v>
      </c>
      <c r="L255" s="1">
        <f t="shared" si="4"/>
        <v>100</v>
      </c>
    </row>
    <row r="256" spans="1:12">
      <c r="A256" s="1">
        <f>VLOOKUP(B256,[1]SkillName!$A:$B,2,FALSE)</f>
        <v>0</v>
      </c>
      <c r="B256">
        <v>254</v>
      </c>
      <c r="C256" t="s">
        <v>252</v>
      </c>
      <c r="D256" s="2">
        <v>0</v>
      </c>
      <c r="E256" s="1" t="str">
        <f>VLOOKUP(D256,定義!$A$2:$D$4,4,FALSE)</f>
        <v>無_物理</v>
      </c>
      <c r="F256">
        <v>0</v>
      </c>
      <c r="G256" s="1" t="str">
        <f>VLOOKUP(F256,定義!$A$2:$C$4,2,FALSE)</f>
        <v>ダメージ</v>
      </c>
      <c r="H256">
        <v>0</v>
      </c>
      <c r="I256" s="1" t="str">
        <f>VLOOKUP(H256,定義!$A$2:$C$4,3,FALSE)</f>
        <v>敵</v>
      </c>
      <c r="J256">
        <v>100</v>
      </c>
      <c r="K256" s="2">
        <v>1000</v>
      </c>
      <c r="L256" s="1">
        <f t="shared" si="4"/>
        <v>100</v>
      </c>
    </row>
    <row r="257" spans="1:12">
      <c r="A257" s="1">
        <f>VLOOKUP(B257,[1]SkillName!$A:$B,2,FALSE)</f>
        <v>0</v>
      </c>
      <c r="B257">
        <v>255</v>
      </c>
      <c r="C257" t="s">
        <v>253</v>
      </c>
      <c r="D257" s="2">
        <v>0</v>
      </c>
      <c r="E257" s="1" t="str">
        <f>VLOOKUP(D257,定義!$A$2:$D$4,4,FALSE)</f>
        <v>無_物理</v>
      </c>
      <c r="F257">
        <v>0</v>
      </c>
      <c r="G257" s="1" t="str">
        <f>VLOOKUP(F257,定義!$A$2:$C$4,2,FALSE)</f>
        <v>ダメージ</v>
      </c>
      <c r="H257">
        <v>0</v>
      </c>
      <c r="I257" s="1" t="str">
        <f>VLOOKUP(H257,定義!$A$2:$C$4,3,FALSE)</f>
        <v>敵</v>
      </c>
      <c r="J257">
        <v>100</v>
      </c>
      <c r="K257" s="2">
        <v>1000</v>
      </c>
      <c r="L257" s="1">
        <f t="shared" si="4"/>
        <v>100</v>
      </c>
    </row>
    <row r="258" spans="1:12">
      <c r="A258" s="1">
        <f>VLOOKUP(B258,[1]SkillName!$A:$B,2,FALSE)</f>
        <v>0</v>
      </c>
      <c r="B258">
        <v>256</v>
      </c>
      <c r="C258" t="s">
        <v>254</v>
      </c>
      <c r="D258" s="2">
        <v>0</v>
      </c>
      <c r="E258" s="1" t="str">
        <f>VLOOKUP(D258,定義!$A$2:$D$4,4,FALSE)</f>
        <v>無_物理</v>
      </c>
      <c r="F258">
        <v>0</v>
      </c>
      <c r="G258" s="1" t="str">
        <f>VLOOKUP(F258,定義!$A$2:$C$4,2,FALSE)</f>
        <v>ダメージ</v>
      </c>
      <c r="H258">
        <v>0</v>
      </c>
      <c r="I258" s="1" t="str">
        <f>VLOOKUP(H258,定義!$A$2:$C$4,3,FALSE)</f>
        <v>敵</v>
      </c>
      <c r="J258">
        <v>100</v>
      </c>
      <c r="K258" s="2">
        <v>1000</v>
      </c>
      <c r="L258" s="1">
        <f t="shared" si="4"/>
        <v>100</v>
      </c>
    </row>
    <row r="259" spans="1:12">
      <c r="A259" s="1">
        <f>VLOOKUP(B259,[1]SkillName!$A:$B,2,FALSE)</f>
        <v>0</v>
      </c>
      <c r="B259">
        <v>257</v>
      </c>
      <c r="C259" t="s">
        <v>255</v>
      </c>
      <c r="D259" s="2">
        <v>0</v>
      </c>
      <c r="E259" s="1" t="str">
        <f>VLOOKUP(D259,定義!$A$2:$D$4,4,FALSE)</f>
        <v>無_物理</v>
      </c>
      <c r="F259">
        <v>0</v>
      </c>
      <c r="G259" s="1" t="str">
        <f>VLOOKUP(F259,定義!$A$2:$C$4,2,FALSE)</f>
        <v>ダメージ</v>
      </c>
      <c r="H259">
        <v>0</v>
      </c>
      <c r="I259" s="1" t="str">
        <f>VLOOKUP(H259,定義!$A$2:$C$4,3,FALSE)</f>
        <v>敵</v>
      </c>
      <c r="J259">
        <v>100</v>
      </c>
      <c r="K259" s="2">
        <v>1000</v>
      </c>
      <c r="L259" s="1">
        <f t="shared" si="4"/>
        <v>100</v>
      </c>
    </row>
    <row r="260" spans="1:12">
      <c r="A260" s="1">
        <f>VLOOKUP(B260,[1]SkillName!$A:$B,2,FALSE)</f>
        <v>0</v>
      </c>
      <c r="B260">
        <v>258</v>
      </c>
      <c r="C260" t="s">
        <v>256</v>
      </c>
      <c r="D260" s="2">
        <v>0</v>
      </c>
      <c r="E260" s="1" t="str">
        <f>VLOOKUP(D260,定義!$A$2:$D$4,4,FALSE)</f>
        <v>無_物理</v>
      </c>
      <c r="F260">
        <v>0</v>
      </c>
      <c r="G260" s="1" t="str">
        <f>VLOOKUP(F260,定義!$A$2:$C$4,2,FALSE)</f>
        <v>ダメージ</v>
      </c>
      <c r="H260">
        <v>0</v>
      </c>
      <c r="I260" s="1" t="str">
        <f>VLOOKUP(H260,定義!$A$2:$C$4,3,FALSE)</f>
        <v>敵</v>
      </c>
      <c r="J260">
        <v>100</v>
      </c>
      <c r="K260" s="2">
        <v>1000</v>
      </c>
      <c r="L260" s="1">
        <f t="shared" si="4"/>
        <v>100</v>
      </c>
    </row>
    <row r="261" spans="1:12">
      <c r="A261" s="1">
        <f>VLOOKUP(B261,[1]SkillName!$A:$B,2,FALSE)</f>
        <v>0</v>
      </c>
      <c r="B261">
        <v>259</v>
      </c>
      <c r="C261" t="s">
        <v>257</v>
      </c>
      <c r="D261" s="2">
        <v>0</v>
      </c>
      <c r="E261" s="1" t="str">
        <f>VLOOKUP(D261,定義!$A$2:$D$4,4,FALSE)</f>
        <v>無_物理</v>
      </c>
      <c r="F261">
        <v>0</v>
      </c>
      <c r="G261" s="1" t="str">
        <f>VLOOKUP(F261,定義!$A$2:$C$4,2,FALSE)</f>
        <v>ダメージ</v>
      </c>
      <c r="H261">
        <v>0</v>
      </c>
      <c r="I261" s="1" t="str">
        <f>VLOOKUP(H261,定義!$A$2:$C$4,3,FALSE)</f>
        <v>敵</v>
      </c>
      <c r="J261">
        <v>100</v>
      </c>
      <c r="K261" s="2">
        <v>1000</v>
      </c>
      <c r="L261" s="1">
        <f t="shared" si="4"/>
        <v>100</v>
      </c>
    </row>
    <row r="262" spans="1:12">
      <c r="A262" s="1">
        <f>VLOOKUP(B262,[1]SkillName!$A:$B,2,FALSE)</f>
        <v>0</v>
      </c>
      <c r="B262">
        <v>260</v>
      </c>
      <c r="C262" t="s">
        <v>258</v>
      </c>
      <c r="D262" s="2">
        <v>0</v>
      </c>
      <c r="E262" s="1" t="str">
        <f>VLOOKUP(D262,定義!$A$2:$D$4,4,FALSE)</f>
        <v>無_物理</v>
      </c>
      <c r="F262">
        <v>0</v>
      </c>
      <c r="G262" s="1" t="str">
        <f>VLOOKUP(F262,定義!$A$2:$C$4,2,FALSE)</f>
        <v>ダメージ</v>
      </c>
      <c r="H262">
        <v>0</v>
      </c>
      <c r="I262" s="1" t="str">
        <f>VLOOKUP(H262,定義!$A$2:$C$4,3,FALSE)</f>
        <v>敵</v>
      </c>
      <c r="J262">
        <v>100</v>
      </c>
      <c r="K262" s="2">
        <v>1000</v>
      </c>
      <c r="L262" s="1">
        <f t="shared" ref="L262:L302" si="5">J262*1000/K262</f>
        <v>100</v>
      </c>
    </row>
    <row r="263" spans="1:12">
      <c r="A263" s="1">
        <f>VLOOKUP(B263,[1]SkillName!$A:$B,2,FALSE)</f>
        <v>0</v>
      </c>
      <c r="B263">
        <v>261</v>
      </c>
      <c r="C263" t="s">
        <v>259</v>
      </c>
      <c r="D263" s="2">
        <v>0</v>
      </c>
      <c r="E263" s="1" t="str">
        <f>VLOOKUP(D263,定義!$A$2:$D$4,4,FALSE)</f>
        <v>無_物理</v>
      </c>
      <c r="F263">
        <v>0</v>
      </c>
      <c r="G263" s="1" t="str">
        <f>VLOOKUP(F263,定義!$A$2:$C$4,2,FALSE)</f>
        <v>ダメージ</v>
      </c>
      <c r="H263">
        <v>0</v>
      </c>
      <c r="I263" s="1" t="str">
        <f>VLOOKUP(H263,定義!$A$2:$C$4,3,FALSE)</f>
        <v>敵</v>
      </c>
      <c r="J263">
        <v>100</v>
      </c>
      <c r="K263" s="2">
        <v>1000</v>
      </c>
      <c r="L263" s="1">
        <f t="shared" si="5"/>
        <v>100</v>
      </c>
    </row>
    <row r="264" spans="1:12">
      <c r="A264" s="1">
        <f>VLOOKUP(B264,[1]SkillName!$A:$B,2,FALSE)</f>
        <v>0</v>
      </c>
      <c r="B264">
        <v>262</v>
      </c>
      <c r="C264" t="s">
        <v>260</v>
      </c>
      <c r="D264" s="2">
        <v>0</v>
      </c>
      <c r="E264" s="1" t="str">
        <f>VLOOKUP(D264,定義!$A$2:$D$4,4,FALSE)</f>
        <v>無_物理</v>
      </c>
      <c r="F264">
        <v>0</v>
      </c>
      <c r="G264" s="1" t="str">
        <f>VLOOKUP(F264,定義!$A$2:$C$4,2,FALSE)</f>
        <v>ダメージ</v>
      </c>
      <c r="H264">
        <v>0</v>
      </c>
      <c r="I264" s="1" t="str">
        <f>VLOOKUP(H264,定義!$A$2:$C$4,3,FALSE)</f>
        <v>敵</v>
      </c>
      <c r="J264">
        <v>100</v>
      </c>
      <c r="K264" s="2">
        <v>1000</v>
      </c>
      <c r="L264" s="1">
        <f t="shared" si="5"/>
        <v>100</v>
      </c>
    </row>
    <row r="265" spans="1:12">
      <c r="A265" s="1">
        <f>VLOOKUP(B265,[1]SkillName!$A:$B,2,FALSE)</f>
        <v>0</v>
      </c>
      <c r="B265">
        <v>263</v>
      </c>
      <c r="C265" t="s">
        <v>261</v>
      </c>
      <c r="D265" s="2">
        <v>0</v>
      </c>
      <c r="E265" s="1" t="str">
        <f>VLOOKUP(D265,定義!$A$2:$D$4,4,FALSE)</f>
        <v>無_物理</v>
      </c>
      <c r="F265">
        <v>0</v>
      </c>
      <c r="G265" s="1" t="str">
        <f>VLOOKUP(F265,定義!$A$2:$C$4,2,FALSE)</f>
        <v>ダメージ</v>
      </c>
      <c r="H265">
        <v>0</v>
      </c>
      <c r="I265" s="1" t="str">
        <f>VLOOKUP(H265,定義!$A$2:$C$4,3,FALSE)</f>
        <v>敵</v>
      </c>
      <c r="J265">
        <v>100</v>
      </c>
      <c r="K265" s="2">
        <v>1000</v>
      </c>
      <c r="L265" s="1">
        <f t="shared" si="5"/>
        <v>100</v>
      </c>
    </row>
    <row r="266" spans="1:12">
      <c r="A266" s="1">
        <f>VLOOKUP(B266,[1]SkillName!$A:$B,2,FALSE)</f>
        <v>0</v>
      </c>
      <c r="B266">
        <v>264</v>
      </c>
      <c r="C266" t="s">
        <v>262</v>
      </c>
      <c r="D266" s="2">
        <v>0</v>
      </c>
      <c r="E266" s="1" t="str">
        <f>VLOOKUP(D266,定義!$A$2:$D$4,4,FALSE)</f>
        <v>無_物理</v>
      </c>
      <c r="F266">
        <v>0</v>
      </c>
      <c r="G266" s="1" t="str">
        <f>VLOOKUP(F266,定義!$A$2:$C$4,2,FALSE)</f>
        <v>ダメージ</v>
      </c>
      <c r="H266">
        <v>0</v>
      </c>
      <c r="I266" s="1" t="str">
        <f>VLOOKUP(H266,定義!$A$2:$C$4,3,FALSE)</f>
        <v>敵</v>
      </c>
      <c r="J266">
        <v>100</v>
      </c>
      <c r="K266" s="2">
        <v>1000</v>
      </c>
      <c r="L266" s="1">
        <f t="shared" si="5"/>
        <v>100</v>
      </c>
    </row>
    <row r="267" spans="1:12">
      <c r="A267" s="1">
        <f>VLOOKUP(B267,[1]SkillName!$A:$B,2,FALSE)</f>
        <v>0</v>
      </c>
      <c r="B267">
        <v>265</v>
      </c>
      <c r="C267" t="s">
        <v>263</v>
      </c>
      <c r="D267" s="2">
        <v>0</v>
      </c>
      <c r="E267" s="1" t="str">
        <f>VLOOKUP(D267,定義!$A$2:$D$4,4,FALSE)</f>
        <v>無_物理</v>
      </c>
      <c r="F267">
        <v>0</v>
      </c>
      <c r="G267" s="1" t="str">
        <f>VLOOKUP(F267,定義!$A$2:$C$4,2,FALSE)</f>
        <v>ダメージ</v>
      </c>
      <c r="H267">
        <v>0</v>
      </c>
      <c r="I267" s="1" t="str">
        <f>VLOOKUP(H267,定義!$A$2:$C$4,3,FALSE)</f>
        <v>敵</v>
      </c>
      <c r="J267">
        <v>100</v>
      </c>
      <c r="K267" s="2">
        <v>1000</v>
      </c>
      <c r="L267" s="1">
        <f t="shared" si="5"/>
        <v>100</v>
      </c>
    </row>
    <row r="268" spans="1:12">
      <c r="A268" s="1">
        <f>VLOOKUP(B268,[1]SkillName!$A:$B,2,FALSE)</f>
        <v>0</v>
      </c>
      <c r="B268">
        <v>266</v>
      </c>
      <c r="C268" t="s">
        <v>264</v>
      </c>
      <c r="D268" s="2">
        <v>0</v>
      </c>
      <c r="E268" s="1" t="str">
        <f>VLOOKUP(D268,定義!$A$2:$D$4,4,FALSE)</f>
        <v>無_物理</v>
      </c>
      <c r="F268">
        <v>0</v>
      </c>
      <c r="G268" s="1" t="str">
        <f>VLOOKUP(F268,定義!$A$2:$C$4,2,FALSE)</f>
        <v>ダメージ</v>
      </c>
      <c r="H268">
        <v>0</v>
      </c>
      <c r="I268" s="1" t="str">
        <f>VLOOKUP(H268,定義!$A$2:$C$4,3,FALSE)</f>
        <v>敵</v>
      </c>
      <c r="J268">
        <v>100</v>
      </c>
      <c r="K268" s="2">
        <v>1000</v>
      </c>
      <c r="L268" s="1">
        <f t="shared" si="5"/>
        <v>100</v>
      </c>
    </row>
    <row r="269" spans="1:12">
      <c r="A269" s="1">
        <f>VLOOKUP(B269,[1]SkillName!$A:$B,2,FALSE)</f>
        <v>0</v>
      </c>
      <c r="B269">
        <v>267</v>
      </c>
      <c r="C269" t="s">
        <v>265</v>
      </c>
      <c r="D269" s="2">
        <v>0</v>
      </c>
      <c r="E269" s="1" t="str">
        <f>VLOOKUP(D269,定義!$A$2:$D$4,4,FALSE)</f>
        <v>無_物理</v>
      </c>
      <c r="F269">
        <v>0</v>
      </c>
      <c r="G269" s="1" t="str">
        <f>VLOOKUP(F269,定義!$A$2:$C$4,2,FALSE)</f>
        <v>ダメージ</v>
      </c>
      <c r="H269">
        <v>0</v>
      </c>
      <c r="I269" s="1" t="str">
        <f>VLOOKUP(H269,定義!$A$2:$C$4,3,FALSE)</f>
        <v>敵</v>
      </c>
      <c r="J269">
        <v>100</v>
      </c>
      <c r="K269" s="2">
        <v>1000</v>
      </c>
      <c r="L269" s="1">
        <f t="shared" si="5"/>
        <v>100</v>
      </c>
    </row>
    <row r="270" spans="1:12">
      <c r="A270" s="1">
        <f>VLOOKUP(B270,[1]SkillName!$A:$B,2,FALSE)</f>
        <v>0</v>
      </c>
      <c r="B270">
        <v>268</v>
      </c>
      <c r="C270" t="s">
        <v>266</v>
      </c>
      <c r="D270" s="2">
        <v>0</v>
      </c>
      <c r="E270" s="1" t="str">
        <f>VLOOKUP(D270,定義!$A$2:$D$4,4,FALSE)</f>
        <v>無_物理</v>
      </c>
      <c r="F270">
        <v>0</v>
      </c>
      <c r="G270" s="1" t="str">
        <f>VLOOKUP(F270,定義!$A$2:$C$4,2,FALSE)</f>
        <v>ダメージ</v>
      </c>
      <c r="H270">
        <v>0</v>
      </c>
      <c r="I270" s="1" t="str">
        <f>VLOOKUP(H270,定義!$A$2:$C$4,3,FALSE)</f>
        <v>敵</v>
      </c>
      <c r="J270">
        <v>100</v>
      </c>
      <c r="K270" s="2">
        <v>1000</v>
      </c>
      <c r="L270" s="1">
        <f t="shared" si="5"/>
        <v>100</v>
      </c>
    </row>
    <row r="271" spans="1:12">
      <c r="A271" s="1">
        <f>VLOOKUP(B271,[1]SkillName!$A:$B,2,FALSE)</f>
        <v>0</v>
      </c>
      <c r="B271">
        <v>269</v>
      </c>
      <c r="C271" t="s">
        <v>267</v>
      </c>
      <c r="D271" s="2">
        <v>0</v>
      </c>
      <c r="E271" s="1" t="str">
        <f>VLOOKUP(D271,定義!$A$2:$D$4,4,FALSE)</f>
        <v>無_物理</v>
      </c>
      <c r="F271">
        <v>0</v>
      </c>
      <c r="G271" s="1" t="str">
        <f>VLOOKUP(F271,定義!$A$2:$C$4,2,FALSE)</f>
        <v>ダメージ</v>
      </c>
      <c r="H271">
        <v>0</v>
      </c>
      <c r="I271" s="1" t="str">
        <f>VLOOKUP(H271,定義!$A$2:$C$4,3,FALSE)</f>
        <v>敵</v>
      </c>
      <c r="J271">
        <v>100</v>
      </c>
      <c r="K271" s="2">
        <v>1000</v>
      </c>
      <c r="L271" s="1">
        <f t="shared" si="5"/>
        <v>100</v>
      </c>
    </row>
    <row r="272" spans="1:12">
      <c r="A272" s="1">
        <f>VLOOKUP(B272,[1]SkillName!$A:$B,2,FALSE)</f>
        <v>0</v>
      </c>
      <c r="B272">
        <v>270</v>
      </c>
      <c r="C272" t="s">
        <v>268</v>
      </c>
      <c r="D272" s="2">
        <v>0</v>
      </c>
      <c r="E272" s="1" t="str">
        <f>VLOOKUP(D272,定義!$A$2:$D$4,4,FALSE)</f>
        <v>無_物理</v>
      </c>
      <c r="F272">
        <v>0</v>
      </c>
      <c r="G272" s="1" t="str">
        <f>VLOOKUP(F272,定義!$A$2:$C$4,2,FALSE)</f>
        <v>ダメージ</v>
      </c>
      <c r="H272">
        <v>0</v>
      </c>
      <c r="I272" s="1" t="str">
        <f>VLOOKUP(H272,定義!$A$2:$C$4,3,FALSE)</f>
        <v>敵</v>
      </c>
      <c r="J272">
        <v>100</v>
      </c>
      <c r="K272" s="2">
        <v>1000</v>
      </c>
      <c r="L272" s="1">
        <f t="shared" si="5"/>
        <v>100</v>
      </c>
    </row>
    <row r="273" spans="1:12">
      <c r="A273" s="1">
        <f>VLOOKUP(B273,[1]SkillName!$A:$B,2,FALSE)</f>
        <v>0</v>
      </c>
      <c r="B273">
        <v>271</v>
      </c>
      <c r="C273" t="s">
        <v>269</v>
      </c>
      <c r="D273" s="2">
        <v>0</v>
      </c>
      <c r="E273" s="1" t="str">
        <f>VLOOKUP(D273,定義!$A$2:$D$4,4,FALSE)</f>
        <v>無_物理</v>
      </c>
      <c r="F273">
        <v>0</v>
      </c>
      <c r="G273" s="1" t="str">
        <f>VLOOKUP(F273,定義!$A$2:$C$4,2,FALSE)</f>
        <v>ダメージ</v>
      </c>
      <c r="H273">
        <v>0</v>
      </c>
      <c r="I273" s="1" t="str">
        <f>VLOOKUP(H273,定義!$A$2:$C$4,3,FALSE)</f>
        <v>敵</v>
      </c>
      <c r="J273">
        <v>100</v>
      </c>
      <c r="K273" s="2">
        <v>1000</v>
      </c>
      <c r="L273" s="1">
        <f t="shared" si="5"/>
        <v>100</v>
      </c>
    </row>
    <row r="274" spans="1:12">
      <c r="A274" s="1">
        <f>VLOOKUP(B274,[1]SkillName!$A:$B,2,FALSE)</f>
        <v>0</v>
      </c>
      <c r="B274">
        <v>272</v>
      </c>
      <c r="C274" t="s">
        <v>270</v>
      </c>
      <c r="D274" s="2">
        <v>0</v>
      </c>
      <c r="E274" s="1" t="str">
        <f>VLOOKUP(D274,定義!$A$2:$D$4,4,FALSE)</f>
        <v>無_物理</v>
      </c>
      <c r="F274">
        <v>0</v>
      </c>
      <c r="G274" s="1" t="str">
        <f>VLOOKUP(F274,定義!$A$2:$C$4,2,FALSE)</f>
        <v>ダメージ</v>
      </c>
      <c r="H274">
        <v>0</v>
      </c>
      <c r="I274" s="1" t="str">
        <f>VLOOKUP(H274,定義!$A$2:$C$4,3,FALSE)</f>
        <v>敵</v>
      </c>
      <c r="J274">
        <v>100</v>
      </c>
      <c r="K274" s="2">
        <v>1000</v>
      </c>
      <c r="L274" s="1">
        <f t="shared" si="5"/>
        <v>100</v>
      </c>
    </row>
    <row r="275" spans="1:12">
      <c r="A275" s="1">
        <f>VLOOKUP(B275,[1]SkillName!$A:$B,2,FALSE)</f>
        <v>0</v>
      </c>
      <c r="B275">
        <v>273</v>
      </c>
      <c r="C275" t="s">
        <v>271</v>
      </c>
      <c r="D275" s="2">
        <v>0</v>
      </c>
      <c r="E275" s="1" t="str">
        <f>VLOOKUP(D275,定義!$A$2:$D$4,4,FALSE)</f>
        <v>無_物理</v>
      </c>
      <c r="F275">
        <v>0</v>
      </c>
      <c r="G275" s="1" t="str">
        <f>VLOOKUP(F275,定義!$A$2:$C$4,2,FALSE)</f>
        <v>ダメージ</v>
      </c>
      <c r="H275">
        <v>0</v>
      </c>
      <c r="I275" s="1" t="str">
        <f>VLOOKUP(H275,定義!$A$2:$C$4,3,FALSE)</f>
        <v>敵</v>
      </c>
      <c r="J275">
        <v>100</v>
      </c>
      <c r="K275" s="2">
        <v>1000</v>
      </c>
      <c r="L275" s="1">
        <f t="shared" si="5"/>
        <v>100</v>
      </c>
    </row>
    <row r="276" spans="1:12">
      <c r="A276" s="1">
        <f>VLOOKUP(B276,[1]SkillName!$A:$B,2,FALSE)</f>
        <v>0</v>
      </c>
      <c r="B276">
        <v>274</v>
      </c>
      <c r="C276" t="s">
        <v>272</v>
      </c>
      <c r="D276" s="2">
        <v>0</v>
      </c>
      <c r="E276" s="1" t="str">
        <f>VLOOKUP(D276,定義!$A$2:$D$4,4,FALSE)</f>
        <v>無_物理</v>
      </c>
      <c r="F276">
        <v>0</v>
      </c>
      <c r="G276" s="1" t="str">
        <f>VLOOKUP(F276,定義!$A$2:$C$4,2,FALSE)</f>
        <v>ダメージ</v>
      </c>
      <c r="H276">
        <v>0</v>
      </c>
      <c r="I276" s="1" t="str">
        <f>VLOOKUP(H276,定義!$A$2:$C$4,3,FALSE)</f>
        <v>敵</v>
      </c>
      <c r="J276">
        <v>100</v>
      </c>
      <c r="K276" s="2">
        <v>1000</v>
      </c>
      <c r="L276" s="1">
        <f t="shared" si="5"/>
        <v>100</v>
      </c>
    </row>
    <row r="277" spans="1:12">
      <c r="A277" s="1">
        <f>VLOOKUP(B277,[1]SkillName!$A:$B,2,FALSE)</f>
        <v>0</v>
      </c>
      <c r="B277">
        <v>275</v>
      </c>
      <c r="C277" t="s">
        <v>273</v>
      </c>
      <c r="D277" s="2">
        <v>0</v>
      </c>
      <c r="E277" s="1" t="str">
        <f>VLOOKUP(D277,定義!$A$2:$D$4,4,FALSE)</f>
        <v>無_物理</v>
      </c>
      <c r="F277">
        <v>0</v>
      </c>
      <c r="G277" s="1" t="str">
        <f>VLOOKUP(F277,定義!$A$2:$C$4,2,FALSE)</f>
        <v>ダメージ</v>
      </c>
      <c r="H277">
        <v>0</v>
      </c>
      <c r="I277" s="1" t="str">
        <f>VLOOKUP(H277,定義!$A$2:$C$4,3,FALSE)</f>
        <v>敵</v>
      </c>
      <c r="J277">
        <v>100</v>
      </c>
      <c r="K277" s="2">
        <v>1000</v>
      </c>
      <c r="L277" s="1">
        <f t="shared" si="5"/>
        <v>100</v>
      </c>
    </row>
    <row r="278" spans="1:12">
      <c r="A278" s="1">
        <f>VLOOKUP(B278,[1]SkillName!$A:$B,2,FALSE)</f>
        <v>0</v>
      </c>
      <c r="B278">
        <v>276</v>
      </c>
      <c r="C278" t="s">
        <v>274</v>
      </c>
      <c r="D278" s="2">
        <v>0</v>
      </c>
      <c r="E278" s="1" t="str">
        <f>VLOOKUP(D278,定義!$A$2:$D$4,4,FALSE)</f>
        <v>無_物理</v>
      </c>
      <c r="F278">
        <v>0</v>
      </c>
      <c r="G278" s="1" t="str">
        <f>VLOOKUP(F278,定義!$A$2:$C$4,2,FALSE)</f>
        <v>ダメージ</v>
      </c>
      <c r="H278">
        <v>0</v>
      </c>
      <c r="I278" s="1" t="str">
        <f>VLOOKUP(H278,定義!$A$2:$C$4,3,FALSE)</f>
        <v>敵</v>
      </c>
      <c r="J278">
        <v>100</v>
      </c>
      <c r="K278" s="2">
        <v>1000</v>
      </c>
      <c r="L278" s="1">
        <f t="shared" si="5"/>
        <v>100</v>
      </c>
    </row>
    <row r="279" spans="1:12">
      <c r="A279" s="1">
        <f>VLOOKUP(B279,[1]SkillName!$A:$B,2,FALSE)</f>
        <v>0</v>
      </c>
      <c r="B279">
        <v>277</v>
      </c>
      <c r="C279" t="s">
        <v>275</v>
      </c>
      <c r="D279" s="2">
        <v>0</v>
      </c>
      <c r="E279" s="1" t="str">
        <f>VLOOKUP(D279,定義!$A$2:$D$4,4,FALSE)</f>
        <v>無_物理</v>
      </c>
      <c r="F279">
        <v>0</v>
      </c>
      <c r="G279" s="1" t="str">
        <f>VLOOKUP(F279,定義!$A$2:$C$4,2,FALSE)</f>
        <v>ダメージ</v>
      </c>
      <c r="H279">
        <v>0</v>
      </c>
      <c r="I279" s="1" t="str">
        <f>VLOOKUP(H279,定義!$A$2:$C$4,3,FALSE)</f>
        <v>敵</v>
      </c>
      <c r="J279">
        <v>100</v>
      </c>
      <c r="K279" s="2">
        <v>1000</v>
      </c>
      <c r="L279" s="1">
        <f t="shared" si="5"/>
        <v>100</v>
      </c>
    </row>
    <row r="280" spans="1:12">
      <c r="A280" s="1">
        <f>VLOOKUP(B280,[1]SkillName!$A:$B,2,FALSE)</f>
        <v>0</v>
      </c>
      <c r="B280">
        <v>278</v>
      </c>
      <c r="C280" t="s">
        <v>276</v>
      </c>
      <c r="D280" s="2">
        <v>0</v>
      </c>
      <c r="E280" s="1" t="str">
        <f>VLOOKUP(D280,定義!$A$2:$D$4,4,FALSE)</f>
        <v>無_物理</v>
      </c>
      <c r="F280">
        <v>0</v>
      </c>
      <c r="G280" s="1" t="str">
        <f>VLOOKUP(F280,定義!$A$2:$C$4,2,FALSE)</f>
        <v>ダメージ</v>
      </c>
      <c r="H280">
        <v>0</v>
      </c>
      <c r="I280" s="1" t="str">
        <f>VLOOKUP(H280,定義!$A$2:$C$4,3,FALSE)</f>
        <v>敵</v>
      </c>
      <c r="J280">
        <v>100</v>
      </c>
      <c r="K280" s="2">
        <v>1000</v>
      </c>
      <c r="L280" s="1">
        <f t="shared" si="5"/>
        <v>100</v>
      </c>
    </row>
    <row r="281" spans="1:12">
      <c r="A281" s="1">
        <f>VLOOKUP(B281,[1]SkillName!$A:$B,2,FALSE)</f>
        <v>0</v>
      </c>
      <c r="B281">
        <v>279</v>
      </c>
      <c r="C281" t="s">
        <v>277</v>
      </c>
      <c r="D281" s="2">
        <v>0</v>
      </c>
      <c r="E281" s="1" t="str">
        <f>VLOOKUP(D281,定義!$A$2:$D$4,4,FALSE)</f>
        <v>無_物理</v>
      </c>
      <c r="F281">
        <v>0</v>
      </c>
      <c r="G281" s="1" t="str">
        <f>VLOOKUP(F281,定義!$A$2:$C$4,2,FALSE)</f>
        <v>ダメージ</v>
      </c>
      <c r="H281">
        <v>0</v>
      </c>
      <c r="I281" s="1" t="str">
        <f>VLOOKUP(H281,定義!$A$2:$C$4,3,FALSE)</f>
        <v>敵</v>
      </c>
      <c r="J281">
        <v>100</v>
      </c>
      <c r="K281" s="2">
        <v>1000</v>
      </c>
      <c r="L281" s="1">
        <f t="shared" si="5"/>
        <v>100</v>
      </c>
    </row>
    <row r="282" spans="1:12">
      <c r="A282" s="1">
        <f>VLOOKUP(B282,[1]SkillName!$A:$B,2,FALSE)</f>
        <v>0</v>
      </c>
      <c r="B282">
        <v>280</v>
      </c>
      <c r="C282" t="s">
        <v>278</v>
      </c>
      <c r="D282" s="2">
        <v>0</v>
      </c>
      <c r="E282" s="1" t="str">
        <f>VLOOKUP(D282,定義!$A$2:$D$4,4,FALSE)</f>
        <v>無_物理</v>
      </c>
      <c r="F282">
        <v>0</v>
      </c>
      <c r="G282" s="1" t="str">
        <f>VLOOKUP(F282,定義!$A$2:$C$4,2,FALSE)</f>
        <v>ダメージ</v>
      </c>
      <c r="H282">
        <v>0</v>
      </c>
      <c r="I282" s="1" t="str">
        <f>VLOOKUP(H282,定義!$A$2:$C$4,3,FALSE)</f>
        <v>敵</v>
      </c>
      <c r="J282">
        <v>100</v>
      </c>
      <c r="K282" s="2">
        <v>1000</v>
      </c>
      <c r="L282" s="1">
        <f t="shared" si="5"/>
        <v>100</v>
      </c>
    </row>
    <row r="283" spans="1:12">
      <c r="A283" s="1">
        <f>VLOOKUP(B283,[1]SkillName!$A:$B,2,FALSE)</f>
        <v>0</v>
      </c>
      <c r="B283">
        <v>281</v>
      </c>
      <c r="C283" t="s">
        <v>279</v>
      </c>
      <c r="D283" s="2">
        <v>0</v>
      </c>
      <c r="E283" s="1" t="str">
        <f>VLOOKUP(D283,定義!$A$2:$D$4,4,FALSE)</f>
        <v>無_物理</v>
      </c>
      <c r="F283">
        <v>0</v>
      </c>
      <c r="G283" s="1" t="str">
        <f>VLOOKUP(F283,定義!$A$2:$C$4,2,FALSE)</f>
        <v>ダメージ</v>
      </c>
      <c r="H283">
        <v>0</v>
      </c>
      <c r="I283" s="1" t="str">
        <f>VLOOKUP(H283,定義!$A$2:$C$4,3,FALSE)</f>
        <v>敵</v>
      </c>
      <c r="J283">
        <v>100</v>
      </c>
      <c r="K283" s="2">
        <v>1000</v>
      </c>
      <c r="L283" s="1">
        <f t="shared" si="5"/>
        <v>100</v>
      </c>
    </row>
    <row r="284" spans="1:12">
      <c r="A284" s="1">
        <f>VLOOKUP(B284,[1]SkillName!$A:$B,2,FALSE)</f>
        <v>0</v>
      </c>
      <c r="B284">
        <v>282</v>
      </c>
      <c r="C284" t="s">
        <v>280</v>
      </c>
      <c r="D284" s="2">
        <v>0</v>
      </c>
      <c r="E284" s="1" t="str">
        <f>VLOOKUP(D284,定義!$A$2:$D$4,4,FALSE)</f>
        <v>無_物理</v>
      </c>
      <c r="F284">
        <v>0</v>
      </c>
      <c r="G284" s="1" t="str">
        <f>VLOOKUP(F284,定義!$A$2:$C$4,2,FALSE)</f>
        <v>ダメージ</v>
      </c>
      <c r="H284">
        <v>0</v>
      </c>
      <c r="I284" s="1" t="str">
        <f>VLOOKUP(H284,定義!$A$2:$C$4,3,FALSE)</f>
        <v>敵</v>
      </c>
      <c r="J284">
        <v>100</v>
      </c>
      <c r="K284" s="2">
        <v>1000</v>
      </c>
      <c r="L284" s="1">
        <f t="shared" si="5"/>
        <v>100</v>
      </c>
    </row>
    <row r="285" spans="1:12">
      <c r="A285" s="1">
        <f>VLOOKUP(B285,[1]SkillName!$A:$B,2,FALSE)</f>
        <v>0</v>
      </c>
      <c r="B285">
        <v>283</v>
      </c>
      <c r="C285" t="s">
        <v>281</v>
      </c>
      <c r="D285" s="2">
        <v>0</v>
      </c>
      <c r="E285" s="1" t="str">
        <f>VLOOKUP(D285,定義!$A$2:$D$4,4,FALSE)</f>
        <v>無_物理</v>
      </c>
      <c r="F285">
        <v>0</v>
      </c>
      <c r="G285" s="1" t="str">
        <f>VLOOKUP(F285,定義!$A$2:$C$4,2,FALSE)</f>
        <v>ダメージ</v>
      </c>
      <c r="H285">
        <v>0</v>
      </c>
      <c r="I285" s="1" t="str">
        <f>VLOOKUP(H285,定義!$A$2:$C$4,3,FALSE)</f>
        <v>敵</v>
      </c>
      <c r="J285">
        <v>100</v>
      </c>
      <c r="K285" s="2">
        <v>1000</v>
      </c>
      <c r="L285" s="1">
        <f t="shared" si="5"/>
        <v>100</v>
      </c>
    </row>
    <row r="286" spans="1:12">
      <c r="A286" s="1">
        <f>VLOOKUP(B286,[1]SkillName!$A:$B,2,FALSE)</f>
        <v>0</v>
      </c>
      <c r="B286">
        <v>284</v>
      </c>
      <c r="C286" t="s">
        <v>282</v>
      </c>
      <c r="D286" s="2">
        <v>0</v>
      </c>
      <c r="E286" s="1" t="str">
        <f>VLOOKUP(D286,定義!$A$2:$D$4,4,FALSE)</f>
        <v>無_物理</v>
      </c>
      <c r="F286">
        <v>0</v>
      </c>
      <c r="G286" s="1" t="str">
        <f>VLOOKUP(F286,定義!$A$2:$C$4,2,FALSE)</f>
        <v>ダメージ</v>
      </c>
      <c r="H286">
        <v>0</v>
      </c>
      <c r="I286" s="1" t="str">
        <f>VLOOKUP(H286,定義!$A$2:$C$4,3,FALSE)</f>
        <v>敵</v>
      </c>
      <c r="J286">
        <v>100</v>
      </c>
      <c r="K286" s="2">
        <v>1000</v>
      </c>
      <c r="L286" s="1">
        <f t="shared" si="5"/>
        <v>100</v>
      </c>
    </row>
    <row r="287" spans="1:12">
      <c r="A287" s="1">
        <f>VLOOKUP(B287,[1]SkillName!$A:$B,2,FALSE)</f>
        <v>0</v>
      </c>
      <c r="B287">
        <v>285</v>
      </c>
      <c r="C287" t="s">
        <v>283</v>
      </c>
      <c r="D287" s="2">
        <v>0</v>
      </c>
      <c r="E287" s="1" t="str">
        <f>VLOOKUP(D287,定義!$A$2:$D$4,4,FALSE)</f>
        <v>無_物理</v>
      </c>
      <c r="F287">
        <v>0</v>
      </c>
      <c r="G287" s="1" t="str">
        <f>VLOOKUP(F287,定義!$A$2:$C$4,2,FALSE)</f>
        <v>ダメージ</v>
      </c>
      <c r="H287">
        <v>0</v>
      </c>
      <c r="I287" s="1" t="str">
        <f>VLOOKUP(H287,定義!$A$2:$C$4,3,FALSE)</f>
        <v>敵</v>
      </c>
      <c r="J287">
        <v>100</v>
      </c>
      <c r="K287" s="2">
        <v>1000</v>
      </c>
      <c r="L287" s="1">
        <f t="shared" si="5"/>
        <v>100</v>
      </c>
    </row>
    <row r="288" spans="1:12">
      <c r="A288" s="1">
        <f>VLOOKUP(B288,[1]SkillName!$A:$B,2,FALSE)</f>
        <v>0</v>
      </c>
      <c r="B288">
        <v>286</v>
      </c>
      <c r="C288" t="s">
        <v>284</v>
      </c>
      <c r="D288" s="2">
        <v>0</v>
      </c>
      <c r="E288" s="1" t="str">
        <f>VLOOKUP(D288,定義!$A$2:$D$4,4,FALSE)</f>
        <v>無_物理</v>
      </c>
      <c r="F288">
        <v>0</v>
      </c>
      <c r="G288" s="1" t="str">
        <f>VLOOKUP(F288,定義!$A$2:$C$4,2,FALSE)</f>
        <v>ダメージ</v>
      </c>
      <c r="H288">
        <v>0</v>
      </c>
      <c r="I288" s="1" t="str">
        <f>VLOOKUP(H288,定義!$A$2:$C$4,3,FALSE)</f>
        <v>敵</v>
      </c>
      <c r="J288">
        <v>100</v>
      </c>
      <c r="K288" s="2">
        <v>1000</v>
      </c>
      <c r="L288" s="1">
        <f t="shared" si="5"/>
        <v>100</v>
      </c>
    </row>
    <row r="289" spans="1:12">
      <c r="A289" s="1">
        <f>VLOOKUP(B289,[1]SkillName!$A:$B,2,FALSE)</f>
        <v>0</v>
      </c>
      <c r="B289">
        <v>287</v>
      </c>
      <c r="C289" t="s">
        <v>285</v>
      </c>
      <c r="D289" s="2">
        <v>0</v>
      </c>
      <c r="E289" s="1" t="str">
        <f>VLOOKUP(D289,定義!$A$2:$D$4,4,FALSE)</f>
        <v>無_物理</v>
      </c>
      <c r="F289">
        <v>0</v>
      </c>
      <c r="G289" s="1" t="str">
        <f>VLOOKUP(F289,定義!$A$2:$C$4,2,FALSE)</f>
        <v>ダメージ</v>
      </c>
      <c r="H289">
        <v>0</v>
      </c>
      <c r="I289" s="1" t="str">
        <f>VLOOKUP(H289,定義!$A$2:$C$4,3,FALSE)</f>
        <v>敵</v>
      </c>
      <c r="J289">
        <v>100</v>
      </c>
      <c r="K289" s="2">
        <v>1000</v>
      </c>
      <c r="L289" s="1">
        <f t="shared" si="5"/>
        <v>100</v>
      </c>
    </row>
    <row r="290" spans="1:12">
      <c r="A290" s="1">
        <f>VLOOKUP(B290,[1]SkillName!$A:$B,2,FALSE)</f>
        <v>0</v>
      </c>
      <c r="B290">
        <v>288</v>
      </c>
      <c r="C290" t="s">
        <v>286</v>
      </c>
      <c r="D290" s="2">
        <v>0</v>
      </c>
      <c r="E290" s="1" t="str">
        <f>VLOOKUP(D290,定義!$A$2:$D$4,4,FALSE)</f>
        <v>無_物理</v>
      </c>
      <c r="F290">
        <v>0</v>
      </c>
      <c r="G290" s="1" t="str">
        <f>VLOOKUP(F290,定義!$A$2:$C$4,2,FALSE)</f>
        <v>ダメージ</v>
      </c>
      <c r="H290">
        <v>0</v>
      </c>
      <c r="I290" s="1" t="str">
        <f>VLOOKUP(H290,定義!$A$2:$C$4,3,FALSE)</f>
        <v>敵</v>
      </c>
      <c r="J290">
        <v>100</v>
      </c>
      <c r="K290" s="2">
        <v>1000</v>
      </c>
      <c r="L290" s="1">
        <f t="shared" si="5"/>
        <v>100</v>
      </c>
    </row>
    <row r="291" spans="1:12">
      <c r="A291" s="1">
        <f>VLOOKUP(B291,[1]SkillName!$A:$B,2,FALSE)</f>
        <v>0</v>
      </c>
      <c r="B291">
        <v>289</v>
      </c>
      <c r="C291" t="s">
        <v>287</v>
      </c>
      <c r="D291" s="2">
        <v>0</v>
      </c>
      <c r="E291" s="1" t="str">
        <f>VLOOKUP(D291,定義!$A$2:$D$4,4,FALSE)</f>
        <v>無_物理</v>
      </c>
      <c r="F291">
        <v>0</v>
      </c>
      <c r="G291" s="1" t="str">
        <f>VLOOKUP(F291,定義!$A$2:$C$4,2,FALSE)</f>
        <v>ダメージ</v>
      </c>
      <c r="H291">
        <v>0</v>
      </c>
      <c r="I291" s="1" t="str">
        <f>VLOOKUP(H291,定義!$A$2:$C$4,3,FALSE)</f>
        <v>敵</v>
      </c>
      <c r="J291">
        <v>100</v>
      </c>
      <c r="K291" s="2">
        <v>1000</v>
      </c>
      <c r="L291" s="1">
        <f t="shared" si="5"/>
        <v>100</v>
      </c>
    </row>
    <row r="292" spans="1:12">
      <c r="A292" s="1">
        <f>VLOOKUP(B292,[1]SkillName!$A:$B,2,FALSE)</f>
        <v>0</v>
      </c>
      <c r="B292">
        <v>290</v>
      </c>
      <c r="C292" t="s">
        <v>288</v>
      </c>
      <c r="D292" s="2">
        <v>0</v>
      </c>
      <c r="E292" s="1" t="str">
        <f>VLOOKUP(D292,定義!$A$2:$D$4,4,FALSE)</f>
        <v>無_物理</v>
      </c>
      <c r="F292">
        <v>0</v>
      </c>
      <c r="G292" s="1" t="str">
        <f>VLOOKUP(F292,定義!$A$2:$C$4,2,FALSE)</f>
        <v>ダメージ</v>
      </c>
      <c r="H292">
        <v>0</v>
      </c>
      <c r="I292" s="1" t="str">
        <f>VLOOKUP(H292,定義!$A$2:$C$4,3,FALSE)</f>
        <v>敵</v>
      </c>
      <c r="J292">
        <v>100</v>
      </c>
      <c r="K292" s="2">
        <v>1000</v>
      </c>
      <c r="L292" s="1">
        <f t="shared" si="5"/>
        <v>100</v>
      </c>
    </row>
    <row r="293" spans="1:12">
      <c r="A293" s="1">
        <f>VLOOKUP(B293,[1]SkillName!$A:$B,2,FALSE)</f>
        <v>0</v>
      </c>
      <c r="B293">
        <v>291</v>
      </c>
      <c r="C293" t="s">
        <v>289</v>
      </c>
      <c r="D293" s="2">
        <v>0</v>
      </c>
      <c r="E293" s="1" t="str">
        <f>VLOOKUP(D293,定義!$A$2:$D$4,4,FALSE)</f>
        <v>無_物理</v>
      </c>
      <c r="F293">
        <v>0</v>
      </c>
      <c r="G293" s="1" t="str">
        <f>VLOOKUP(F293,定義!$A$2:$C$4,2,FALSE)</f>
        <v>ダメージ</v>
      </c>
      <c r="H293">
        <v>0</v>
      </c>
      <c r="I293" s="1" t="str">
        <f>VLOOKUP(H293,定義!$A$2:$C$4,3,FALSE)</f>
        <v>敵</v>
      </c>
      <c r="J293">
        <v>100</v>
      </c>
      <c r="K293" s="2">
        <v>1000</v>
      </c>
      <c r="L293" s="1">
        <f t="shared" si="5"/>
        <v>100</v>
      </c>
    </row>
    <row r="294" spans="1:12">
      <c r="A294" s="1">
        <f>VLOOKUP(B294,[1]SkillName!$A:$B,2,FALSE)</f>
        <v>0</v>
      </c>
      <c r="B294">
        <v>292</v>
      </c>
      <c r="C294" t="s">
        <v>290</v>
      </c>
      <c r="D294" s="2">
        <v>0</v>
      </c>
      <c r="E294" s="1" t="str">
        <f>VLOOKUP(D294,定義!$A$2:$D$4,4,FALSE)</f>
        <v>無_物理</v>
      </c>
      <c r="F294">
        <v>0</v>
      </c>
      <c r="G294" s="1" t="str">
        <f>VLOOKUP(F294,定義!$A$2:$C$4,2,FALSE)</f>
        <v>ダメージ</v>
      </c>
      <c r="H294">
        <v>0</v>
      </c>
      <c r="I294" s="1" t="str">
        <f>VLOOKUP(H294,定義!$A$2:$C$4,3,FALSE)</f>
        <v>敵</v>
      </c>
      <c r="J294">
        <v>100</v>
      </c>
      <c r="K294" s="2">
        <v>1000</v>
      </c>
      <c r="L294" s="1">
        <f t="shared" si="5"/>
        <v>100</v>
      </c>
    </row>
    <row r="295" spans="1:12">
      <c r="A295" s="1">
        <f>VLOOKUP(B295,[1]SkillName!$A:$B,2,FALSE)</f>
        <v>0</v>
      </c>
      <c r="B295">
        <v>293</v>
      </c>
      <c r="C295" t="s">
        <v>291</v>
      </c>
      <c r="D295" s="2">
        <v>0</v>
      </c>
      <c r="E295" s="1" t="str">
        <f>VLOOKUP(D295,定義!$A$2:$D$4,4,FALSE)</f>
        <v>無_物理</v>
      </c>
      <c r="F295">
        <v>0</v>
      </c>
      <c r="G295" s="1" t="str">
        <f>VLOOKUP(F295,定義!$A$2:$C$4,2,FALSE)</f>
        <v>ダメージ</v>
      </c>
      <c r="H295">
        <v>0</v>
      </c>
      <c r="I295" s="1" t="str">
        <f>VLOOKUP(H295,定義!$A$2:$C$4,3,FALSE)</f>
        <v>敵</v>
      </c>
      <c r="J295">
        <v>100</v>
      </c>
      <c r="K295" s="2">
        <v>1000</v>
      </c>
      <c r="L295" s="1">
        <f t="shared" si="5"/>
        <v>100</v>
      </c>
    </row>
    <row r="296" spans="1:12">
      <c r="A296" s="1">
        <f>VLOOKUP(B296,[1]SkillName!$A:$B,2,FALSE)</f>
        <v>0</v>
      </c>
      <c r="B296">
        <v>294</v>
      </c>
      <c r="C296" t="s">
        <v>292</v>
      </c>
      <c r="D296" s="2">
        <v>0</v>
      </c>
      <c r="E296" s="1" t="str">
        <f>VLOOKUP(D296,定義!$A$2:$D$4,4,FALSE)</f>
        <v>無_物理</v>
      </c>
      <c r="F296">
        <v>0</v>
      </c>
      <c r="G296" s="1" t="str">
        <f>VLOOKUP(F296,定義!$A$2:$C$4,2,FALSE)</f>
        <v>ダメージ</v>
      </c>
      <c r="H296">
        <v>0</v>
      </c>
      <c r="I296" s="1" t="str">
        <f>VLOOKUP(H296,定義!$A$2:$C$4,3,FALSE)</f>
        <v>敵</v>
      </c>
      <c r="J296">
        <v>100</v>
      </c>
      <c r="K296" s="2">
        <v>1000</v>
      </c>
      <c r="L296" s="1">
        <f t="shared" si="5"/>
        <v>100</v>
      </c>
    </row>
    <row r="297" spans="1:12">
      <c r="A297" s="1">
        <f>VLOOKUP(B297,[1]SkillName!$A:$B,2,FALSE)</f>
        <v>0</v>
      </c>
      <c r="B297">
        <v>295</v>
      </c>
      <c r="C297" t="s">
        <v>293</v>
      </c>
      <c r="D297" s="2">
        <v>0</v>
      </c>
      <c r="E297" s="1" t="str">
        <f>VLOOKUP(D297,定義!$A$2:$D$4,4,FALSE)</f>
        <v>無_物理</v>
      </c>
      <c r="F297">
        <v>0</v>
      </c>
      <c r="G297" s="1" t="str">
        <f>VLOOKUP(F297,定義!$A$2:$C$4,2,FALSE)</f>
        <v>ダメージ</v>
      </c>
      <c r="H297">
        <v>0</v>
      </c>
      <c r="I297" s="1" t="str">
        <f>VLOOKUP(H297,定義!$A$2:$C$4,3,FALSE)</f>
        <v>敵</v>
      </c>
      <c r="J297">
        <v>100</v>
      </c>
      <c r="K297" s="2">
        <v>1000</v>
      </c>
      <c r="L297" s="1">
        <f t="shared" si="5"/>
        <v>100</v>
      </c>
    </row>
    <row r="298" spans="1:12">
      <c r="A298" s="1">
        <f>VLOOKUP(B298,[1]SkillName!$A:$B,2,FALSE)</f>
        <v>0</v>
      </c>
      <c r="B298">
        <v>296</v>
      </c>
      <c r="C298" t="s">
        <v>294</v>
      </c>
      <c r="D298" s="2">
        <v>0</v>
      </c>
      <c r="E298" s="1" t="str">
        <f>VLOOKUP(D298,定義!$A$2:$D$4,4,FALSE)</f>
        <v>無_物理</v>
      </c>
      <c r="F298">
        <v>0</v>
      </c>
      <c r="G298" s="1" t="str">
        <f>VLOOKUP(F298,定義!$A$2:$C$4,2,FALSE)</f>
        <v>ダメージ</v>
      </c>
      <c r="H298">
        <v>0</v>
      </c>
      <c r="I298" s="1" t="str">
        <f>VLOOKUP(H298,定義!$A$2:$C$4,3,FALSE)</f>
        <v>敵</v>
      </c>
      <c r="J298">
        <v>100</v>
      </c>
      <c r="K298" s="2">
        <v>1000</v>
      </c>
      <c r="L298" s="1">
        <f t="shared" si="5"/>
        <v>100</v>
      </c>
    </row>
    <row r="299" spans="1:12">
      <c r="A299" s="1">
        <f>VLOOKUP(B299,[1]SkillName!$A:$B,2,FALSE)</f>
        <v>0</v>
      </c>
      <c r="B299">
        <v>297</v>
      </c>
      <c r="C299" t="s">
        <v>295</v>
      </c>
      <c r="D299" s="2">
        <v>0</v>
      </c>
      <c r="E299" s="1" t="str">
        <f>VLOOKUP(D299,定義!$A$2:$D$4,4,FALSE)</f>
        <v>無_物理</v>
      </c>
      <c r="F299">
        <v>0</v>
      </c>
      <c r="G299" s="1" t="str">
        <f>VLOOKUP(F299,定義!$A$2:$C$4,2,FALSE)</f>
        <v>ダメージ</v>
      </c>
      <c r="H299">
        <v>0</v>
      </c>
      <c r="I299" s="1" t="str">
        <f>VLOOKUP(H299,定義!$A$2:$C$4,3,FALSE)</f>
        <v>敵</v>
      </c>
      <c r="J299">
        <v>100</v>
      </c>
      <c r="K299" s="2">
        <v>1000</v>
      </c>
      <c r="L299" s="1">
        <f t="shared" si="5"/>
        <v>100</v>
      </c>
    </row>
    <row r="300" spans="1:12">
      <c r="A300" s="1">
        <f>VLOOKUP(B300,[1]SkillName!$A:$B,2,FALSE)</f>
        <v>0</v>
      </c>
      <c r="B300">
        <v>298</v>
      </c>
      <c r="C300" t="s">
        <v>296</v>
      </c>
      <c r="D300" s="2">
        <v>0</v>
      </c>
      <c r="E300" s="1" t="str">
        <f>VLOOKUP(D300,定義!$A$2:$D$4,4,FALSE)</f>
        <v>無_物理</v>
      </c>
      <c r="F300">
        <v>0</v>
      </c>
      <c r="G300" s="1" t="str">
        <f>VLOOKUP(F300,定義!$A$2:$C$4,2,FALSE)</f>
        <v>ダメージ</v>
      </c>
      <c r="H300">
        <v>0</v>
      </c>
      <c r="I300" s="1" t="str">
        <f>VLOOKUP(H300,定義!$A$2:$C$4,3,FALSE)</f>
        <v>敵</v>
      </c>
      <c r="J300">
        <v>100</v>
      </c>
      <c r="K300" s="2">
        <v>1000</v>
      </c>
      <c r="L300" s="1">
        <f t="shared" si="5"/>
        <v>100</v>
      </c>
    </row>
    <row r="301" spans="1:12">
      <c r="A301" s="1">
        <f>VLOOKUP(B301,[1]SkillName!$A:$B,2,FALSE)</f>
        <v>0</v>
      </c>
      <c r="B301">
        <v>299</v>
      </c>
      <c r="C301" t="s">
        <v>297</v>
      </c>
      <c r="D301" s="2">
        <v>0</v>
      </c>
      <c r="E301" s="1" t="str">
        <f>VLOOKUP(D301,定義!$A$2:$D$4,4,FALSE)</f>
        <v>無_物理</v>
      </c>
      <c r="F301">
        <v>0</v>
      </c>
      <c r="G301" s="1" t="str">
        <f>VLOOKUP(F301,定義!$A$2:$C$4,2,FALSE)</f>
        <v>ダメージ</v>
      </c>
      <c r="H301">
        <v>0</v>
      </c>
      <c r="I301" s="1" t="str">
        <f>VLOOKUP(H301,定義!$A$2:$C$4,3,FALSE)</f>
        <v>敵</v>
      </c>
      <c r="J301">
        <v>100</v>
      </c>
      <c r="K301" s="2">
        <v>1000</v>
      </c>
      <c r="L301" s="1">
        <f t="shared" si="5"/>
        <v>100</v>
      </c>
    </row>
    <row r="302" spans="1:12">
      <c r="A302" s="1">
        <f>VLOOKUP(B302,[1]SkillName!$A:$B,2,FALSE)</f>
        <v>0</v>
      </c>
      <c r="B302">
        <v>300</v>
      </c>
      <c r="C302" t="s">
        <v>298</v>
      </c>
      <c r="D302" s="2">
        <v>0</v>
      </c>
      <c r="E302" s="1" t="str">
        <f>VLOOKUP(D302,定義!$A$2:$D$4,4,FALSE)</f>
        <v>無_物理</v>
      </c>
      <c r="F302">
        <v>0</v>
      </c>
      <c r="G302" s="1" t="str">
        <f>VLOOKUP(F302,定義!$A$2:$C$4,2,FALSE)</f>
        <v>ダメージ</v>
      </c>
      <c r="H302">
        <v>0</v>
      </c>
      <c r="I302" s="1" t="str">
        <f>VLOOKUP(H302,定義!$A$2:$C$4,3,FALSE)</f>
        <v>敵</v>
      </c>
      <c r="J302">
        <v>100</v>
      </c>
      <c r="K302" s="2">
        <v>1000</v>
      </c>
      <c r="L302" s="1">
        <f t="shared" si="5"/>
        <v>100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OutputSkillFixData">
                <anchor moveWithCells="1" sizeWithCells="1">
                  <from>
                    <xdr:col>14</xdr:col>
                    <xdr:colOff>428625</xdr:colOff>
                    <xdr:row>4</xdr:row>
                    <xdr:rowOff>133350</xdr:rowOff>
                  </from>
                  <to>
                    <xdr:col>17</xdr:col>
                    <xdr:colOff>47625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4"/>
  <sheetViews>
    <sheetView workbookViewId="0">
      <selection activeCell="B5" sqref="B5"/>
    </sheetView>
  </sheetViews>
  <sheetFormatPr defaultRowHeight="18.75"/>
  <cols>
    <col min="2" max="2" width="15.375" customWidth="1"/>
    <col min="3" max="3" width="18" customWidth="1"/>
    <col min="4" max="4" width="11.5" customWidth="1"/>
  </cols>
  <sheetData>
    <row r="1" spans="1:4">
      <c r="A1" t="s">
        <v>0</v>
      </c>
      <c r="B1" t="s">
        <v>313</v>
      </c>
      <c r="C1" t="s">
        <v>317</v>
      </c>
      <c r="D1" t="s">
        <v>321</v>
      </c>
    </row>
    <row r="2" spans="1:4">
      <c r="A2">
        <v>0</v>
      </c>
      <c r="B2" t="s">
        <v>318</v>
      </c>
      <c r="C2" t="s">
        <v>316</v>
      </c>
      <c r="D2" t="s">
        <v>323</v>
      </c>
    </row>
    <row r="3" spans="1:4">
      <c r="A3">
        <v>1</v>
      </c>
      <c r="B3" t="s">
        <v>319</v>
      </c>
      <c r="C3" t="s">
        <v>315</v>
      </c>
      <c r="D3" t="s">
        <v>324</v>
      </c>
    </row>
    <row r="4" spans="1:4">
      <c r="A4">
        <v>2</v>
      </c>
      <c r="B4" t="s">
        <v>331</v>
      </c>
      <c r="C4" t="s">
        <v>314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CharaFixData</vt:lpstr>
      <vt:lpstr>SkillFixData</vt:lpstr>
      <vt:lpstr>定義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jjc</cp:lastModifiedBy>
  <dcterms:created xsi:type="dcterms:W3CDTF">2015-06-05T18:19:34Z</dcterms:created>
  <dcterms:modified xsi:type="dcterms:W3CDTF">2023-11-13T03:14:51Z</dcterms:modified>
</cp:coreProperties>
</file>