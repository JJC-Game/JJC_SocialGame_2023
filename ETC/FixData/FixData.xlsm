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2452962F-D249-4CCC-9C37-4926CBE43FF3}" xr6:coauthVersionLast="47" xr6:coauthVersionMax="47" xr10:uidLastSave="{00000000-0000-0000-0000-000000000000}"/>
  <bookViews>
    <workbookView xWindow="0" yWindow="0" windowWidth="21630" windowHeight="11325" firstSheet="1" activeTab="2" xr2:uid="{00000000-000D-0000-FFFF-FFFF00000000}"/>
  </bookViews>
  <sheets>
    <sheet name="CharaFixData" sheetId="2" r:id="rId1"/>
    <sheet name="SkillFixData" sheetId="3" r:id="rId2"/>
    <sheet name="BackGroundFixData" sheetId="5" r:id="rId3"/>
    <sheet name="定義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<sst xmlns="http://schemas.openxmlformats.org/spreadsheetml/2006/main" count="658" uniqueCount="414">
  <si>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</si>
  <si>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</si>
  <si>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</si>
  <si>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</si>
  <si>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</si>
  <si>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</si>
  <si>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</si>
  <si>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</si>
  <si>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</si>
  <si>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</si>
  <si>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</si>
  <si>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</si>
  <si>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</si>
  <si>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</si>
  <si>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</si>
  <si>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</si>
  <si>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</si>
  <si>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</si>
  <si>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</si>
  <si>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Textures/Chara/Chara017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</si>
  <si>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</si>
  <si>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</si>
  <si>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</si>
  <si>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</si>
  <si>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</si>
  <si>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</si>
  <si>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</si>
  <si>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</si>
  <si>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</si>
  <si>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</si>
  <si>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</si>
  <si>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</si>
  <si>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</si>
  <si>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</si>
  <si>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</si>
  <si>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</si>
  <si>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</si>
  <si>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</si>
  <si>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</si>
  <si>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</si>
  <si>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</si>
  <si>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</si>
  <si>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</si>
  <si>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</si>
  <si>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</si>
  <si>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</si>
  <si>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</si>
  <si>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</si>
  <si>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</si>
  <si>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</si>
  <si>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</si>
  <si>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</si>
  <si>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</si>
  <si>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</si>
  <si>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</si>
  <si>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</si>
  <si>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</si>
  <si>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</si>
  <si>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</si>
  <si>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</si>
  <si>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</si>
  <si>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</si>
  <si>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</si>
  <si>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</si>
  <si>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</si>
  <si>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</si>
  <si>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</si>
  <si>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</si>
  <si>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</si>
  <si>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</si>
  <si>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</si>
  <si>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</si>
  <si>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</si>
  <si>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</si>
  <si>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</si>
  <si>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</si>
  <si>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</si>
  <si>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</si>
  <si>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</si>
  <si>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</si>
  <si>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</si>
  <si>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</si>
  <si>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</si>
  <si>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</si>
  <si>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</si>
  <si>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</si>
  <si>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</si>
  <si>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</si>
  <si>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</si>
  <si>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</si>
  <si>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</si>
  <si>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</si>
  <si>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</si>
  <si>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</si>
  <si>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</si>
  <si>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</si>
  <si>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</si>
  <si>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</si>
  <si>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</si>
  <si>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</si>
  <si>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</si>
  <si>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</si>
  <si>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</si>
  <si>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</si>
  <si>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</si>
  <si>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</si>
  <si>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</si>
  <si>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</si>
  <si>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</si>
  <si>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</si>
  <si>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</si>
  <si>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</si>
  <si>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</si>
  <si>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</si>
  <si>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</si>
  <si>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</si>
  <si>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</si>
  <si>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</si>
  <si>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</si>
  <si>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</si>
  <si>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</si>
  <si>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</si>
  <si>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</si>
  <si>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</si>
  <si>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</si>
  <si>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</si>
  <si>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</si>
  <si>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</si>
  <si>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</si>
  <si>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</si>
  <si>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</si>
  <si>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</si>
  <si>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</si>
  <si>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</si>
  <si>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</si>
  <si>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</si>
  <si>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</si>
  <si>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</si>
  <si>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</si>
  <si>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</si>
  <si>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</si>
  <si>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</si>
  <si>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</si>
  <si>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</si>
  <si>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</si>
  <si>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</si>
  <si>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</si>
  <si>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</si>
  <si>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</si>
  <si>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</si>
  <si>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</si>
  <si>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</si>
  <si>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</si>
  <si>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</si>
  <si>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</si>
  <si>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</si>
  <si>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</si>
  <si>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</si>
  <si>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</si>
  <si>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</si>
  <si>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</si>
  <si>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</si>
  <si>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</si>
  <si>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</si>
  <si>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</si>
  <si>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</si>
  <si>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</si>
  <si>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</si>
  <si>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</si>
  <si>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</si>
  <si>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</si>
  <si>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</si>
  <si>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</si>
  <si>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</si>
  <si>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</si>
  <si>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</si>
  <si>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</si>
  <si>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</si>
  <si>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</si>
  <si>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</si>
  <si>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</si>
  <si>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</si>
  <si>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</si>
  <si>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</si>
  <si>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</si>
  <si>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</si>
  <si>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</si>
  <si>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</si>
  <si>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</si>
  <si>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</si>
  <si>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</si>
  <si>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</si>
  <si>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</si>
  <si>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</si>
  <si>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</si>
  <si>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</si>
  <si>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</si>
  <si>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</si>
  <si>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</si>
  <si>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</si>
  <si>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</si>
  <si>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</si>
  <si>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</si>
  <si>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</si>
  <si>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</si>
  <si>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</si>
  <si>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</si>
  <si>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</si>
  <si>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</si>
  <si>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</si>
  <si>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</si>
  <si>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</si>
  <si>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</si>
  <si>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</si>
  <si>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</si>
  <si>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</si>
  <si>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</si>
  <si>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</si>
  <si>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</si>
  <si>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</si>
  <si>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</si>
  <si>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</si>
  <si>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</si>
  <si>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</si>
  <si>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</si>
  <si>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</si>
  <si>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</si>
  <si>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</si>
  <si>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</si>
  <si>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</si>
  <si>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</si>
  <si>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</si>
  <si>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</si>
  <si>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</si>
  <si>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</si>
  <si>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</si>
  <si>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</si>
  <si>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</si>
  <si>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</si>
  <si>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</si>
  <si>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</si>
  <si>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</si>
  <si>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</si>
  <si>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</si>
  <si>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</si>
  <si>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</si>
  <si>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</si>
  <si>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</si>
  <si>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</si>
  <si>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</si>
  <si>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</si>
  <si>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</si>
  <si>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</si>
  <si>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</si>
  <si>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</si>
  <si>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</si>
  <si>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</si>
  <si>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</si>
  <si>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</si>
  <si>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</si>
  <si>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</si>
  <si>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</si>
  <si>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</si>
  <si>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</si>
  <si>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</si>
  <si>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</si>
  <si>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</si>
  <si>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</si>
  <si>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</si>
  <si>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</si>
  <si>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</si>
  <si>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</si>
  <si>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</si>
  <si>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</si>
  <si>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</si>
  <si>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</si>
  <si>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</si>
  <si>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</si>
  <si>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</si>
  <si>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</si>
  <si>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</si>
  <si>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</si>
  <si>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</si>
  <si>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</si>
  <si>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</si>
  <si>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</si>
  <si>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</si>
  <si>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</si>
  <si>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</si>
  <si>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</si>
  <si>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</si>
  <si>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</si>
  <si>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</si>
  <si>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</si>
  <si>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</si>
  <si>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</si>
  <si>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</si>
  <si>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</si>
  <si>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</si>
  <si>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</si>
  <si>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</si>
  <si>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</si>
  <si>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</si>
  <si>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</si>
  <si>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</si>
  <si>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</si>
  <si>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</si>
  <si>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</si>
  <si>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</si>
  <si>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</si>
  <si>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</si>
  <si>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</si>
  <si>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</si>
  <si>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</si>
  <si>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</si>
  <si>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</si>
  <si>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</si>
  <si>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</si>
  <si>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</si>
  <si>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</si>
  <si>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</si>
  <si>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</si>
  <si>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</si>
  <si>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</si>
  <si>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</si>
  <si>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</si>
  <si>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</si>
  <si>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</si>
  <si>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</si>
  <si>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</si>
  <si>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</si>
  <si>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</si>
  <si>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</si>
  <si>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</si>
  <si>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</si>
  <si>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</si>
  <si>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</si>
  <si>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</si>
  <si>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</si>
  <si>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</si>
  <si>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</si>
  <si>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</si>
  <si>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</si>
  <si>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</si>
  <si>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</si>
  <si>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</si>
  <si>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</si>
  <si>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</si>
  <si>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</si>
  <si>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</si>
  <si>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</si>
  <si>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</si>
  <si>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</si>
  <si>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>Prefabs/Effects/Chara010_Skill002</t>
    <phoneticPr fontId="1"/>
  </si>
  <si>
    <t>Prefabs/Effects/Chara001_Skill001</t>
    <phoneticPr fontId="1"/>
  </si>
  <si>
    <t>Prefabs/Effects/Chara002_Skill001</t>
    <phoneticPr fontId="1"/>
  </si>
  <si>
    <t>Prefabs/Effects/Chara010_Skill001</t>
    <phoneticPr fontId="1"/>
  </si>
  <si>
    <t>Textures/Chara/Chara018</t>
    <phoneticPr fontId="1"/>
  </si>
  <si>
    <t>Textures/Enemy/Enemy007</t>
  </si>
  <si>
    <t>Textures/Enemy/Enemy008</t>
  </si>
  <si>
    <t>Textures/Enemy/Enemy009</t>
  </si>
  <si>
    <t>Textures/Enemy/Enemy010</t>
  </si>
  <si>
    <t>Textures/Enemy/Enemy011</t>
  </si>
  <si>
    <t>Textures/Enemy/Enemy015</t>
  </si>
  <si>
    <t>Textures/Enemy/Enemy016</t>
  </si>
  <si>
    <t>Textures/Enemy/Enemy017</t>
  </si>
  <si>
    <t>Textures/Enemy/Enemy018</t>
  </si>
  <si>
    <t>Textures/Enemy/Enemy019</t>
  </si>
  <si>
    <t>Textures/Enemy/Enemy020</t>
  </si>
  <si>
    <t>Textures/Enemy/Enemy021</t>
  </si>
  <si>
    <t>Textures/Enemy/Enemy022</t>
  </si>
  <si>
    <t>Textures/Enemy/Enemy023</t>
  </si>
  <si>
    <t>Textures/Enemy/Enemy024</t>
  </si>
  <si>
    <t>Textures/Enemy/Enemy025</t>
  </si>
  <si>
    <t>Textures/Enemy/Enemy026</t>
  </si>
  <si>
    <t>Textures/Enemy/Enemy027</t>
  </si>
  <si>
    <t>Textures/Enemy/Enemy028</t>
  </si>
  <si>
    <t>Textures/Enemy/Enemy029</t>
  </si>
  <si>
    <t>Textures/Enemy/Enemy030</t>
  </si>
  <si>
    <t>Textures/NODATA</t>
    <phoneticPr fontId="1"/>
  </si>
  <si>
    <t>Prefabs/Effects/Enemy010_Skill001</t>
    <phoneticPr fontId="1"/>
  </si>
  <si>
    <t>Prefabs/Effects/Enemy010_Skill002</t>
    <phoneticPr fontId="1"/>
  </si>
  <si>
    <t>Prefabs/Effects/Enemy014_Skill001</t>
    <phoneticPr fontId="1"/>
  </si>
  <si>
    <t>Prefabs/Effects/Enemy015_Skill001</t>
    <phoneticPr fontId="1"/>
  </si>
  <si>
    <t>Prefabs/Effects/Enemy016_Skill001</t>
    <phoneticPr fontId="1"/>
  </si>
  <si>
    <t>Prefabs/Effects/Enemy019_Skill001</t>
    <phoneticPr fontId="1"/>
  </si>
  <si>
    <t>Prefabs/Effects/Enemy019_Skill002</t>
    <phoneticPr fontId="1"/>
  </si>
  <si>
    <t>Prefabs/Effects/Enemy018_Skill001</t>
    <phoneticPr fontId="1"/>
  </si>
  <si>
    <t>Prefabs/Effects/Enemy018_Skill002</t>
    <phoneticPr fontId="1"/>
  </si>
  <si>
    <t>Prefabs/Effects/Enemy025_Skill001</t>
    <phoneticPr fontId="1"/>
  </si>
  <si>
    <t>Prefabs/Effects/Enemy025_Skill002</t>
    <phoneticPr fontId="1"/>
  </si>
  <si>
    <t>Prefabs/Effects/Enemy023_Skill001</t>
    <phoneticPr fontId="1"/>
  </si>
  <si>
    <t>Prefabs/Effects/Enemy023_Skill002</t>
    <phoneticPr fontId="1"/>
  </si>
  <si>
    <t>Prefabs/Effects/Enemy024_Skill001</t>
    <phoneticPr fontId="1"/>
  </si>
  <si>
    <t>Prefabs/Effects/Enemy024_Skill002</t>
    <phoneticPr fontId="1"/>
  </si>
  <si>
    <t>Prefabs/Effects/Enemy022_Skill001</t>
    <phoneticPr fontId="1"/>
  </si>
  <si>
    <t>Prefabs/Effects/Enemy022_Skill002</t>
    <phoneticPr fontId="1"/>
  </si>
  <si>
    <t>Prefabs/Effects/Chara018_Skill001</t>
    <phoneticPr fontId="1"/>
  </si>
  <si>
    <t>Prefabs/Effects/Chara018_Skill002</t>
    <phoneticPr fontId="1"/>
  </si>
  <si>
    <t>備考</t>
    <rPh sb="0" eb="2">
      <t>ビコウ</t>
    </rPh>
    <phoneticPr fontId="1"/>
  </si>
  <si>
    <t>無効値</t>
    <rPh sb="0" eb="3">
      <t>ムコウアタイ</t>
    </rPh>
    <phoneticPr fontId="1"/>
  </si>
  <si>
    <t>Textures/BackGround/BackGround001</t>
    <phoneticPr fontId="1"/>
  </si>
  <si>
    <t>Textures/BackGround/BackGround002</t>
  </si>
  <si>
    <t>Textures/BackGround/BackGround003</t>
  </si>
  <si>
    <t>Textures/BackGround/BackGround004</t>
  </si>
  <si>
    <t>Textures/BackGround/BackGround005</t>
  </si>
  <si>
    <t>Textures/BackGround/BackGround006</t>
  </si>
  <si>
    <t>居間</t>
    <rPh sb="0" eb="2">
      <t>イマ</t>
    </rPh>
    <phoneticPr fontId="1"/>
  </si>
  <si>
    <t>森</t>
    <rPh sb="0" eb="1">
      <t>モリ</t>
    </rPh>
    <phoneticPr fontId="1"/>
  </si>
  <si>
    <t>草むら</t>
    <rPh sb="0" eb="1">
      <t>クサ</t>
    </rPh>
    <phoneticPr fontId="1"/>
  </si>
  <si>
    <t>洞窟</t>
    <rPh sb="0" eb="2">
      <t>ドウクツ</t>
    </rPh>
    <phoneticPr fontId="1"/>
  </si>
  <si>
    <t>お城外観</t>
    <rPh sb="1" eb="2">
      <t>シロ</t>
    </rPh>
    <rPh sb="2" eb="4">
      <t>ガイカン</t>
    </rPh>
    <phoneticPr fontId="1"/>
  </si>
  <si>
    <t>石造りの砦内部</t>
    <rPh sb="0" eb="2">
      <t>イシヅク</t>
    </rPh>
    <rPh sb="4" eb="5">
      <t>トリデ</t>
    </rPh>
    <rPh sb="5" eb="7">
      <t>ナイブ</t>
    </rPh>
    <phoneticPr fontId="1"/>
  </si>
  <si>
    <t>Yオフセット(100倍)</t>
    <rPh sb="10" eb="11">
      <t>バイ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</si>
</sst>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SkillName"/>
      <sheetName val="EventCopy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花園　祭音</v>
          </cell>
        </row>
        <row r="18">
          <cell r="A18">
            <v>16</v>
          </cell>
          <cell r="B18" t="str">
            <v>２月イベントキャラ</v>
          </cell>
        </row>
        <row r="19">
          <cell r="A19">
            <v>17</v>
          </cell>
          <cell r="B19" t="str">
            <v>甘井　苦之介</v>
          </cell>
        </row>
        <row r="20">
          <cell r="A20">
            <v>18</v>
          </cell>
          <cell r="B20" t="str">
            <v>卯月　桜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  <cell r="B212" t="str">
            <v>新春獰猛クロウタツ</v>
          </cell>
        </row>
        <row r="213">
          <cell r="A213">
            <v>211</v>
          </cell>
          <cell r="B213" t="str">
            <v>もちもちモンスター</v>
          </cell>
        </row>
        <row r="214">
          <cell r="A214">
            <v>212</v>
          </cell>
          <cell r="B214" t="str">
            <v>１月ザコ２</v>
          </cell>
        </row>
        <row r="215">
          <cell r="A215">
            <v>213</v>
          </cell>
          <cell r="B215" t="str">
            <v>１月ザコ３</v>
          </cell>
        </row>
        <row r="216">
          <cell r="A216">
            <v>214</v>
          </cell>
          <cell r="B216" t="str">
            <v>２月ボス</v>
          </cell>
        </row>
        <row r="217">
          <cell r="A217">
            <v>215</v>
          </cell>
          <cell r="B217" t="str">
            <v>ラブリーソードスウィンガー</v>
          </cell>
        </row>
        <row r="218">
          <cell r="A218">
            <v>216</v>
          </cell>
          <cell r="B218" t="str">
            <v>チョコの異形(緑)</v>
          </cell>
        </row>
        <row r="219">
          <cell r="A219">
            <v>217</v>
          </cell>
          <cell r="B219" t="str">
            <v>キュー</v>
          </cell>
        </row>
        <row r="220">
          <cell r="A220">
            <v>218</v>
          </cell>
          <cell r="B220" t="str">
            <v>砂糖好子</v>
          </cell>
        </row>
        <row r="221">
          <cell r="A221">
            <v>219</v>
          </cell>
          <cell r="B221" t="str">
            <v>メガチョコ</v>
          </cell>
        </row>
        <row r="222">
          <cell r="A222">
            <v>220</v>
          </cell>
          <cell r="B222" t="str">
            <v>キャンディテディベア</v>
          </cell>
        </row>
        <row r="223">
          <cell r="A223">
            <v>221</v>
          </cell>
          <cell r="B223" t="str">
            <v>キュー</v>
          </cell>
        </row>
        <row r="224">
          <cell r="A224">
            <v>222</v>
          </cell>
          <cell r="B224" t="str">
            <v>サク・ランデブー</v>
          </cell>
        </row>
        <row r="225">
          <cell r="A225">
            <v>223</v>
          </cell>
          <cell r="B225" t="str">
            <v xml:space="preserve">ヴィニラファントム </v>
          </cell>
        </row>
        <row r="226">
          <cell r="A226">
            <v>224</v>
          </cell>
          <cell r="B226" t="str">
            <v>酔缶</v>
          </cell>
        </row>
        <row r="227">
          <cell r="A227">
            <v>225</v>
          </cell>
          <cell r="B227" t="str">
            <v>ランチミミックス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陶芸投げ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雪降らし</v>
          </cell>
        </row>
        <row r="12">
          <cell r="A12">
            <v>10</v>
          </cell>
          <cell r="B12" t="str">
            <v>新幹線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いたずら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水禍</v>
          </cell>
        </row>
        <row r="22">
          <cell r="A22">
            <v>20</v>
          </cell>
          <cell r="B22" t="str">
            <v>龍の息吹</v>
          </cell>
        </row>
        <row r="23">
          <cell r="A23">
            <v>21</v>
          </cell>
          <cell r="B23" t="str">
            <v>特攻</v>
          </cell>
        </row>
        <row r="24">
          <cell r="A24">
            <v>22</v>
          </cell>
          <cell r="B24" t="str">
            <v>5回斬り</v>
          </cell>
        </row>
        <row r="25">
          <cell r="A25">
            <v>23</v>
          </cell>
          <cell r="B25" t="str">
            <v>回復</v>
          </cell>
        </row>
        <row r="26">
          <cell r="A26">
            <v>24</v>
          </cell>
          <cell r="B26" t="str">
            <v>バフ</v>
          </cell>
        </row>
        <row r="27">
          <cell r="A27">
            <v>25</v>
          </cell>
          <cell r="B27" t="str">
            <v>ソバフ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フォレストカース</v>
          </cell>
        </row>
        <row r="30">
          <cell r="A30">
            <v>28</v>
          </cell>
          <cell r="B30" t="str">
            <v>森の木漏れ日</v>
          </cell>
        </row>
        <row r="31">
          <cell r="A31">
            <v>29</v>
          </cell>
          <cell r="B31" t="str">
            <v>覇玖呂</v>
          </cell>
        </row>
        <row r="32">
          <cell r="A32">
            <v>30</v>
          </cell>
          <cell r="B32" t="str">
            <v>白い被り物の幻想</v>
          </cell>
        </row>
        <row r="33">
          <cell r="A33">
            <v>31</v>
          </cell>
          <cell r="B33" t="str">
            <v>書物の召喚</v>
          </cell>
        </row>
        <row r="34">
          <cell r="A34">
            <v>32</v>
          </cell>
          <cell r="B34" t="str">
            <v>崩壊</v>
          </cell>
        </row>
        <row r="35">
          <cell r="A35">
            <v>33</v>
          </cell>
          <cell r="B35" t="str">
            <v>スカルダスト</v>
          </cell>
        </row>
        <row r="36">
          <cell r="A36">
            <v>34</v>
          </cell>
          <cell r="B36" t="str">
            <v>骨の盾</v>
          </cell>
        </row>
        <row r="37">
          <cell r="A37">
            <v>35</v>
          </cell>
          <cell r="B37" t="str">
            <v>デンプン吸収ビーム</v>
          </cell>
        </row>
        <row r="38">
          <cell r="A38">
            <v>36</v>
          </cell>
          <cell r="B38" t="str">
            <v>エクスプロージョンポテト</v>
          </cell>
        </row>
        <row r="39">
          <cell r="A39">
            <v>37</v>
          </cell>
          <cell r="B39" t="str">
            <v>ジャベリンキャキャロット</v>
          </cell>
        </row>
        <row r="40">
          <cell r="A40">
            <v>38</v>
          </cell>
          <cell r="B40" t="str">
            <v>キャロティースキル2</v>
          </cell>
        </row>
        <row r="41">
          <cell r="A41">
            <v>39</v>
          </cell>
          <cell r="B41" t="str">
            <v>オニオンラッシュ</v>
          </cell>
        </row>
        <row r="42">
          <cell r="A42">
            <v>40</v>
          </cell>
          <cell r="B42" t="str">
            <v>リトルオニオンズスキル2</v>
          </cell>
        </row>
        <row r="43">
          <cell r="A43">
            <v>41</v>
          </cell>
          <cell r="B43" t="str">
            <v>トマト爆弾</v>
          </cell>
        </row>
        <row r="44">
          <cell r="A44">
            <v>42</v>
          </cell>
          <cell r="B44" t="str">
            <v>野菜呼び</v>
          </cell>
        </row>
        <row r="45">
          <cell r="A45">
            <v>43</v>
          </cell>
          <cell r="B45" t="str">
            <v>骨飛ばし</v>
          </cell>
        </row>
        <row r="46">
          <cell r="A46">
            <v>44</v>
          </cell>
          <cell r="B46" t="str">
            <v>骨の盾</v>
          </cell>
        </row>
        <row r="47">
          <cell r="A47">
            <v>45</v>
          </cell>
          <cell r="B47" t="str">
            <v>スカルブラスト</v>
          </cell>
        </row>
        <row r="48">
          <cell r="A48">
            <v>46</v>
          </cell>
          <cell r="B48" t="str">
            <v>ベジタブルヒール</v>
          </cell>
        </row>
        <row r="49">
          <cell r="A49">
            <v>47</v>
          </cell>
          <cell r="B49" t="str">
            <v>年明けのラジオ体操</v>
          </cell>
        </row>
        <row r="50">
          <cell r="A50">
            <v>48</v>
          </cell>
          <cell r="B50" t="str">
            <v>奉賀ヨガファイト</v>
          </cell>
        </row>
        <row r="51">
          <cell r="A51">
            <v>49</v>
          </cell>
          <cell r="B51" t="str">
            <v>２月キャラスキル１</v>
          </cell>
        </row>
        <row r="52">
          <cell r="A52">
            <v>50</v>
          </cell>
          <cell r="B52" t="str">
            <v>２月キャラスキル２</v>
          </cell>
        </row>
        <row r="53">
          <cell r="A53">
            <v>51</v>
          </cell>
          <cell r="B53" t="str">
            <v>甘い思い出</v>
          </cell>
        </row>
        <row r="54">
          <cell r="A54">
            <v>52</v>
          </cell>
          <cell r="B54" t="str">
            <v>後悔の苦味</v>
          </cell>
        </row>
        <row r="55">
          <cell r="A55">
            <v>53</v>
          </cell>
          <cell r="B55" t="str">
            <v>桜吹雪</v>
          </cell>
        </row>
        <row r="56">
          <cell r="A56">
            <v>54</v>
          </cell>
          <cell r="B56" t="str">
            <v>ブロッサムシールド</v>
          </cell>
        </row>
        <row r="57">
          <cell r="A57">
            <v>55</v>
          </cell>
          <cell r="B57" t="str">
            <v>新春爪撃</v>
          </cell>
        </row>
        <row r="58">
          <cell r="A58">
            <v>56</v>
          </cell>
          <cell r="B58" t="str">
            <v>鋭牙突き</v>
          </cell>
        </row>
        <row r="59">
          <cell r="A59">
            <v>57</v>
          </cell>
          <cell r="B59" t="str">
            <v>もちもちシャワー</v>
          </cell>
        </row>
        <row r="60">
          <cell r="A60">
            <v>58</v>
          </cell>
          <cell r="B60" t="str">
            <v>１月ザコ１スキル２</v>
          </cell>
        </row>
        <row r="61">
          <cell r="A61">
            <v>59</v>
          </cell>
          <cell r="B61" t="str">
            <v>１月ザコ２スキル１</v>
          </cell>
        </row>
        <row r="62">
          <cell r="A62">
            <v>60</v>
          </cell>
          <cell r="B62" t="str">
            <v>１月ザコ２スキル２</v>
          </cell>
        </row>
        <row r="63">
          <cell r="A63">
            <v>61</v>
          </cell>
          <cell r="B63" t="str">
            <v>１月ザコ３スキル１</v>
          </cell>
        </row>
        <row r="64">
          <cell r="A64">
            <v>62</v>
          </cell>
          <cell r="B64" t="str">
            <v>１月ザコ３スキル２</v>
          </cell>
        </row>
        <row r="65">
          <cell r="A65">
            <v>63</v>
          </cell>
          <cell r="B65" t="str">
            <v>ハートパンチ</v>
          </cell>
        </row>
        <row r="66">
          <cell r="A66">
            <v>64</v>
          </cell>
          <cell r="B66" t="str">
            <v>２月ボススキル２</v>
          </cell>
        </row>
        <row r="67">
          <cell r="A67">
            <v>65</v>
          </cell>
          <cell r="B67" t="str">
            <v>ラブストライク</v>
          </cell>
        </row>
        <row r="68">
          <cell r="A68">
            <v>66</v>
          </cell>
          <cell r="B68" t="str">
            <v>キュートガード</v>
          </cell>
        </row>
        <row r="69">
          <cell r="A69">
            <v>67</v>
          </cell>
          <cell r="B69" t="str">
            <v>緑の誘惑</v>
          </cell>
        </row>
        <row r="70">
          <cell r="A70">
            <v>68</v>
          </cell>
          <cell r="B70" t="str">
            <v>深緑の螺旋</v>
          </cell>
        </row>
        <row r="71">
          <cell r="A71">
            <v>69</v>
          </cell>
          <cell r="B71" t="str">
            <v>２月ザコ３スキル１</v>
          </cell>
        </row>
        <row r="72">
          <cell r="A72">
            <v>70</v>
          </cell>
          <cell r="B72" t="str">
            <v>２月ザコ３スキル２</v>
          </cell>
        </row>
        <row r="73">
          <cell r="A73">
            <v>71</v>
          </cell>
          <cell r="B73" t="str">
            <v>スイートドレイン</v>
          </cell>
        </row>
        <row r="74">
          <cell r="A74">
            <v>72</v>
          </cell>
          <cell r="B74" t="str">
            <v>スイートストライク</v>
          </cell>
        </row>
        <row r="75">
          <cell r="A75">
            <v>73</v>
          </cell>
          <cell r="B75" t="str">
            <v>開眼</v>
          </cell>
        </row>
        <row r="76">
          <cell r="A76">
            <v>74</v>
          </cell>
          <cell r="B76" t="str">
            <v>アイビーム</v>
          </cell>
        </row>
        <row r="77">
          <cell r="A77">
            <v>75</v>
          </cell>
          <cell r="B77" t="str">
            <v>キャンディクローザー</v>
          </cell>
        </row>
        <row r="78">
          <cell r="A78">
            <v>76</v>
          </cell>
          <cell r="B78" t="str">
            <v>ベアスモーク</v>
          </cell>
        </row>
        <row r="79">
          <cell r="A79">
            <v>77</v>
          </cell>
          <cell r="B79" t="str">
            <v>３月ザコ３スキル１</v>
          </cell>
        </row>
        <row r="80">
          <cell r="A80">
            <v>78</v>
          </cell>
          <cell r="B80" t="str">
            <v>３月ザコ３スキル２</v>
          </cell>
        </row>
        <row r="81">
          <cell r="A81">
            <v>79</v>
          </cell>
          <cell r="B81" t="str">
            <v>桜吹雪</v>
          </cell>
        </row>
        <row r="82">
          <cell r="A82">
            <v>80</v>
          </cell>
          <cell r="B82" t="str">
            <v>邪王の根滅</v>
          </cell>
        </row>
        <row r="83">
          <cell r="A83">
            <v>81</v>
          </cell>
          <cell r="B83" t="str">
            <v xml:space="preserve">プラスチックウィップ    </v>
          </cell>
        </row>
        <row r="84">
          <cell r="A84">
            <v>82</v>
          </cell>
          <cell r="B84" t="str">
            <v xml:space="preserve">リサイクルリジェネレーション    </v>
          </cell>
        </row>
        <row r="85">
          <cell r="A85">
            <v>83</v>
          </cell>
          <cell r="B85" t="str">
            <v>酔拳</v>
          </cell>
        </row>
        <row r="86">
          <cell r="A86">
            <v>84</v>
          </cell>
          <cell r="B86" t="str">
            <v>アルコールショット</v>
          </cell>
        </row>
        <row r="87">
          <cell r="A87">
            <v>85</v>
          </cell>
          <cell r="B87" t="str">
            <v xml:space="preserve">まき散らす   </v>
          </cell>
        </row>
        <row r="88">
          <cell r="A88">
            <v>86</v>
          </cell>
          <cell r="B88" t="str">
            <v xml:space="preserve"> 噛みつく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opLeftCell="A208" workbookViewId="0">
      <selection activeCell="C216" sqref="C216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303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330</v>
      </c>
      <c r="K1" s="2" t="s">
        <v>332</v>
      </c>
      <c r="L1" t="s">
        <v>331</v>
      </c>
      <c r="M1" s="2" t="s">
        <v>332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陶芸投げ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雪降らし</v>
      </c>
      <c r="L7">
        <v>10</v>
      </c>
      <c r="M7" s="3" t="str">
        <f>VLOOKUP(L7,[1]SkillName!$A:$B,2,FALSE)</f>
        <v>新幹線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いたずら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水禍</v>
      </c>
      <c r="L12">
        <v>20</v>
      </c>
      <c r="M12" s="3" t="str">
        <f>VLOOKUP(L12,[1]SkillName!$A:$B,2,FALSE)</f>
        <v>龍の息吹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特攻</v>
      </c>
      <c r="L13">
        <v>22</v>
      </c>
      <c r="M13" s="3" t="str">
        <f>VLOOKUP(L13,[1]SkillName!$A:$B,2,FALSE)</f>
        <v>5回斬り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回復</v>
      </c>
      <c r="L14">
        <v>24</v>
      </c>
      <c r="M14" s="3" t="str">
        <f>VLOOKUP(L14,[1]SkillName!$A:$B,2,FALSE)</f>
        <v>バフ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ソバフ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フォレストカース</v>
      </c>
      <c r="L16">
        <v>28</v>
      </c>
      <c r="M16" s="3" t="str">
        <f>VLOOKUP(L16,[1]SkillName!$A:$B,2,FALSE)</f>
        <v>森の木漏れ日</v>
      </c>
    </row>
    <row r="17" spans="1:13">
      <c r="A17" s="1" t="str">
        <f>VLOOKUP(B17,[1]CharaName!$A:$B,2,FALSE)</f>
        <v>花園　祭音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 t="str">
        <f>VLOOKUP(B18,[1]CharaName!$A:$B,2,FALSE)</f>
        <v>２月イベントキャラ</v>
      </c>
      <c r="B18">
        <v>16</v>
      </c>
      <c r="C18" t="s">
        <v>379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 t="str">
        <f>VLOOKUP(B19,[1]CharaName!$A:$B,2,FALSE)</f>
        <v>甘井　苦之介</v>
      </c>
      <c r="B19">
        <v>17</v>
      </c>
      <c r="C19" t="s">
        <v>19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 t="str">
        <f>VLOOKUP(B20,[1]CharaName!$A:$B,2,FALSE)</f>
        <v>卯月　桜</v>
      </c>
      <c r="B20">
        <v>18</v>
      </c>
      <c r="C20" t="s">
        <v>357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53</v>
      </c>
      <c r="K20" s="3" t="str">
        <f>VLOOKUP(J20,[1]SkillName!$A:$B,2,FALSE)</f>
        <v>桜吹雪</v>
      </c>
      <c r="L20">
        <v>54</v>
      </c>
      <c r="M20" s="3" t="str">
        <f>VLOOKUP(L20,[1]SkillName!$A:$B,2,FALSE)</f>
        <v>ブロッサムシールド</v>
      </c>
    </row>
    <row r="21" spans="1:13">
      <c r="A21" s="1">
        <f>VLOOKUP(B21,[1]CharaName!$A:$B,2,FALSE)</f>
        <v>0</v>
      </c>
      <c r="B21">
        <v>19</v>
      </c>
      <c r="C21" t="s">
        <v>20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21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22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23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24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25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26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27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28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29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30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31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32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33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34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35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36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37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38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39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40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41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42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43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44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45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46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47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48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49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50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51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52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53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54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55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56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57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58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59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60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61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62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63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64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65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66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67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68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69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70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71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72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73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74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75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76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77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78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79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80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81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82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83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84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85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86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87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88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89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90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91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92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93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94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95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96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97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98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99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100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101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102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103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104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105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106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107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108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109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110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111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112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113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114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115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116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117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118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119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120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121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122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123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124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125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126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127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128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129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130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131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132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133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134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135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136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137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138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139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140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141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142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143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144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145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146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147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148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149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150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151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152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153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154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155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156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157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158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159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160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161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162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163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164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165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166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167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168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169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170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171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172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173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174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175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176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177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178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179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180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181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182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183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184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185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186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187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188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189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190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191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192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193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194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195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196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197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198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199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200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304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305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覇玖呂</v>
      </c>
      <c r="L203">
        <v>30</v>
      </c>
      <c r="M203" s="3" t="str">
        <f>VLOOKUP(L203,[1]SkillName!$A:$B,2,FALSE)</f>
        <v>白い被り物の幻想</v>
      </c>
    </row>
    <row r="204" spans="1:13">
      <c r="A204" s="1" t="str">
        <f>VLOOKUP(B204,[1]CharaName!$A:$B,2,FALSE)</f>
        <v>ブックハンド</v>
      </c>
      <c r="B204">
        <v>202</v>
      </c>
      <c r="C204" t="s">
        <v>306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書物の召喚</v>
      </c>
      <c r="L204">
        <v>32</v>
      </c>
      <c r="M204" s="3" t="str">
        <f>VLOOKUP(L204,[1]SkillName!$A:$B,2,FALSE)</f>
        <v>崩壊</v>
      </c>
    </row>
    <row r="205" spans="1:13">
      <c r="A205" s="1" t="str">
        <f>VLOOKUP(B205,[1]CharaName!$A:$B,2,FALSE)</f>
        <v>オステオン</v>
      </c>
      <c r="B205">
        <v>203</v>
      </c>
      <c r="C205" t="s">
        <v>307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スカルダスト</v>
      </c>
      <c r="L205">
        <v>34</v>
      </c>
      <c r="M205" s="3" t="str">
        <f>VLOOKUP(L205,[1]SkillName!$A:$B,2,FALSE)</f>
        <v>骨の盾</v>
      </c>
    </row>
    <row r="206" spans="1:13">
      <c r="A206" s="1" t="str">
        <f>VLOOKUP(B206,[1]CharaName!$A:$B,2,FALSE)</f>
        <v>ターボ・タロ</v>
      </c>
      <c r="B206">
        <v>204</v>
      </c>
      <c r="C206" t="s">
        <v>308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デンプン吸収ビーム</v>
      </c>
      <c r="L206">
        <v>36</v>
      </c>
      <c r="M206" s="3" t="str">
        <f>VLOOKUP(L206,[1]SkillName!$A:$B,2,FALSE)</f>
        <v>エクスプロージョンポテト</v>
      </c>
    </row>
    <row r="207" spans="1:13">
      <c r="A207" s="1" t="str">
        <f>VLOOKUP(B207,[1]CharaName!$A:$B,2,FALSE)</f>
        <v>キャロティ</v>
      </c>
      <c r="B207">
        <v>205</v>
      </c>
      <c r="C207" t="s">
        <v>335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 t="str">
        <f>VLOOKUP(J207,[1]SkillName!$A:$B,2,FALSE)</f>
        <v>ジャベリンキャキャロット</v>
      </c>
      <c r="L207">
        <v>38</v>
      </c>
      <c r="M207" s="3" t="str">
        <f>VLOOKUP(L207,[1]SkillName!$A:$B,2,FALSE)</f>
        <v>キャロティースキル2</v>
      </c>
    </row>
    <row r="208" spans="1:13">
      <c r="A208" s="1" t="str">
        <f>VLOOKUP(B208,[1]CharaName!$A:$B,2,FALSE)</f>
        <v>リトルオニオンズ</v>
      </c>
      <c r="B208">
        <v>206</v>
      </c>
      <c r="C208" t="s">
        <v>336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 t="str">
        <f>VLOOKUP(J208,[1]SkillName!$A:$B,2,FALSE)</f>
        <v>オニオンラッシュ</v>
      </c>
      <c r="L208">
        <v>40</v>
      </c>
      <c r="M208" s="3" t="str">
        <f>VLOOKUP(L208,[1]SkillName!$A:$B,2,FALSE)</f>
        <v>リトルオニオンズスキル2</v>
      </c>
    </row>
    <row r="209" spans="1:13">
      <c r="A209" s="1" t="str">
        <f>VLOOKUP(B209,[1]CharaName!$A:$B,2,FALSE)</f>
        <v>ドン・トマト</v>
      </c>
      <c r="B209">
        <v>207</v>
      </c>
      <c r="C209" t="s">
        <v>358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 t="str">
        <f>VLOOKUP(B210,[1]CharaName!$A:$B,2,FALSE)</f>
        <v>オステオロン</v>
      </c>
      <c r="B210">
        <v>208</v>
      </c>
      <c r="C210" t="s">
        <v>359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 t="str">
        <f>VLOOKUP(B211,[1]CharaName!$A:$B,2,FALSE)</f>
        <v>スカルマッスルファイターV</v>
      </c>
      <c r="B211">
        <v>209</v>
      </c>
      <c r="C211" t="s">
        <v>360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 t="str">
        <f>VLOOKUP(B212,[1]CharaName!$A:$B,2,FALSE)</f>
        <v>新春獰猛クロウタツ</v>
      </c>
      <c r="B212">
        <v>210</v>
      </c>
      <c r="C212" t="s">
        <v>361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55</v>
      </c>
      <c r="K212" s="3" t="str">
        <f>VLOOKUP(J212,[1]SkillName!$A:$B,2,FALSE)</f>
        <v>新春爪撃</v>
      </c>
      <c r="L212">
        <v>56</v>
      </c>
      <c r="M212" s="3" t="str">
        <f>VLOOKUP(L212,[1]SkillName!$A:$B,2,FALSE)</f>
        <v>鋭牙突き</v>
      </c>
    </row>
    <row r="213" spans="1:13">
      <c r="A213" s="1" t="str">
        <f>VLOOKUP(B213,[1]CharaName!$A:$B,2,FALSE)</f>
        <v>もちもちモンスター</v>
      </c>
      <c r="B213">
        <v>211</v>
      </c>
      <c r="C213" t="s">
        <v>362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 t="str">
        <f>VLOOKUP(B214,[1]CharaName!$A:$B,2,FALSE)</f>
        <v>１月ザコ２</v>
      </c>
      <c r="B214">
        <v>212</v>
      </c>
      <c r="C214" t="s">
        <v>379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 t="str">
        <f>VLOOKUP(B215,[1]CharaName!$A:$B,2,FALSE)</f>
        <v>１月ザコ３</v>
      </c>
      <c r="B215">
        <v>213</v>
      </c>
      <c r="C215" t="s">
        <v>379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 t="str">
        <f>VLOOKUP(B216,[1]CharaName!$A:$B,2,FALSE)</f>
        <v>２月ボス</v>
      </c>
      <c r="B216">
        <v>214</v>
      </c>
      <c r="C216" t="s">
        <v>379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 t="str">
        <f>VLOOKUP(B217,[1]CharaName!$A:$B,2,FALSE)</f>
        <v>ラブリーソードスウィンガー</v>
      </c>
      <c r="B217">
        <v>215</v>
      </c>
      <c r="C217" t="s">
        <v>363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 t="str">
        <f>VLOOKUP(B218,[1]CharaName!$A:$B,2,FALSE)</f>
        <v>チョコの異形(緑)</v>
      </c>
      <c r="B218">
        <v>216</v>
      </c>
      <c r="C218" t="s">
        <v>364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 t="str">
        <f>VLOOKUP(B219,[1]CharaName!$A:$B,2,FALSE)</f>
        <v>キュー</v>
      </c>
      <c r="B219">
        <v>217</v>
      </c>
      <c r="C219" t="s">
        <v>365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 t="str">
        <f>VLOOKUP(B220,[1]CharaName!$A:$B,2,FALSE)</f>
        <v>砂糖好子</v>
      </c>
      <c r="B220">
        <v>218</v>
      </c>
      <c r="C220" t="s">
        <v>366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71</v>
      </c>
      <c r="K220" s="3" t="str">
        <f>VLOOKUP(J220,[1]SkillName!$A:$B,2,FALSE)</f>
        <v>スイートドレイン</v>
      </c>
      <c r="L220">
        <v>72</v>
      </c>
      <c r="M220" s="3" t="str">
        <f>VLOOKUP(L220,[1]SkillName!$A:$B,2,FALSE)</f>
        <v>スイートストライク</v>
      </c>
    </row>
    <row r="221" spans="1:13">
      <c r="A221" s="1" t="str">
        <f>VLOOKUP(B221,[1]CharaName!$A:$B,2,FALSE)</f>
        <v>メガチョコ</v>
      </c>
      <c r="B221">
        <v>219</v>
      </c>
      <c r="C221" t="s">
        <v>367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73</v>
      </c>
      <c r="K221" s="3" t="str">
        <f>VLOOKUP(J221,[1]SkillName!$A:$B,2,FALSE)</f>
        <v>開眼</v>
      </c>
      <c r="L221">
        <v>74</v>
      </c>
      <c r="M221" s="3" t="str">
        <f>VLOOKUP(L221,[1]SkillName!$A:$B,2,FALSE)</f>
        <v>アイビーム</v>
      </c>
    </row>
    <row r="222" spans="1:13">
      <c r="A222" s="1" t="str">
        <f>VLOOKUP(B222,[1]CharaName!$A:$B,2,FALSE)</f>
        <v>キャンディテディベア</v>
      </c>
      <c r="B222">
        <v>220</v>
      </c>
      <c r="C222" t="s">
        <v>368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 t="str">
        <f>VLOOKUP(B223,[1]CharaName!$A:$B,2,FALSE)</f>
        <v>キュー</v>
      </c>
      <c r="B223">
        <v>221</v>
      </c>
      <c r="C223" t="s">
        <v>369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 t="str">
        <f>VLOOKUP(B224,[1]CharaName!$A:$B,2,FALSE)</f>
        <v>サク・ランデブー</v>
      </c>
      <c r="B224">
        <v>222</v>
      </c>
      <c r="C224" t="s">
        <v>370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79</v>
      </c>
      <c r="K224" s="3" t="str">
        <f>VLOOKUP(J224,[1]SkillName!$A:$B,2,FALSE)</f>
        <v>桜吹雪</v>
      </c>
      <c r="L224">
        <v>80</v>
      </c>
      <c r="M224" s="3" t="str">
        <f>VLOOKUP(L224,[1]SkillName!$A:$B,2,FALSE)</f>
        <v>邪王の根滅</v>
      </c>
    </row>
    <row r="225" spans="1:13">
      <c r="A225" s="1" t="str">
        <f>VLOOKUP(B225,[1]CharaName!$A:$B,2,FALSE)</f>
        <v xml:space="preserve">ヴィニラファントム </v>
      </c>
      <c r="B225">
        <v>223</v>
      </c>
      <c r="C225" t="s">
        <v>371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81</v>
      </c>
      <c r="K225" s="3" t="str">
        <f>VLOOKUP(J225,[1]SkillName!$A:$B,2,FALSE)</f>
        <v xml:space="preserve">プラスチックウィップ    </v>
      </c>
      <c r="L225">
        <v>82</v>
      </c>
      <c r="M225" s="3" t="str">
        <f>VLOOKUP(L225,[1]SkillName!$A:$B,2,FALSE)</f>
        <v xml:space="preserve">リサイクルリジェネレーション    </v>
      </c>
    </row>
    <row r="226" spans="1:13">
      <c r="A226" s="1" t="str">
        <f>VLOOKUP(B226,[1]CharaName!$A:$B,2,FALSE)</f>
        <v>酔缶</v>
      </c>
      <c r="B226">
        <v>224</v>
      </c>
      <c r="C226" t="s">
        <v>372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83</v>
      </c>
      <c r="K226" s="3" t="str">
        <f>VLOOKUP(J226,[1]SkillName!$A:$B,2,FALSE)</f>
        <v>酔拳</v>
      </c>
      <c r="L226">
        <v>84</v>
      </c>
      <c r="M226" s="3" t="str">
        <f>VLOOKUP(L226,[1]SkillName!$A:$B,2,FALSE)</f>
        <v>アルコールショット</v>
      </c>
    </row>
    <row r="227" spans="1:13">
      <c r="A227" s="1" t="str">
        <f>VLOOKUP(B227,[1]CharaName!$A:$B,2,FALSE)</f>
        <v>ランチミミックス</v>
      </c>
      <c r="B227">
        <v>225</v>
      </c>
      <c r="C227" t="s">
        <v>373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85</v>
      </c>
      <c r="K227" s="3" t="str">
        <f>VLOOKUP(J227,[1]SkillName!$A:$B,2,FALSE)</f>
        <v xml:space="preserve">まき散らす   </v>
      </c>
      <c r="L227">
        <v>86</v>
      </c>
      <c r="M227" s="3" t="str">
        <f>VLOOKUP(L227,[1]SkillName!$A:$B,2,FALSE)</f>
        <v xml:space="preserve"> 噛みつく</v>
      </c>
    </row>
    <row r="228" spans="1:13">
      <c r="A228" s="1">
        <f>VLOOKUP(B228,[1]CharaName!$A:$B,2,FALSE)</f>
        <v>0</v>
      </c>
      <c r="B228">
        <v>226</v>
      </c>
      <c r="C228" t="s">
        <v>374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375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376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377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378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227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228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229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230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231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232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233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234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235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236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237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238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239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240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241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242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243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244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245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246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247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248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249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250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251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252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253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254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255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256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257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258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259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260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261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262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263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264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265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266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267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268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269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270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271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272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273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274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275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276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277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278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279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280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281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282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283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284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285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286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287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288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289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290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291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292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293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294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295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296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297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workbookViewId="0">
      <selection activeCell="C6" sqref="C6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309</v>
      </c>
      <c r="D1" t="s">
        <v>323</v>
      </c>
      <c r="E1" s="2" t="s">
        <v>325</v>
      </c>
      <c r="F1" t="s">
        <v>310</v>
      </c>
      <c r="G1" s="2" t="s">
        <v>324</v>
      </c>
      <c r="H1" t="s">
        <v>318</v>
      </c>
      <c r="I1" s="2" t="s">
        <v>327</v>
      </c>
      <c r="J1" t="s">
        <v>326</v>
      </c>
      <c r="K1" t="s">
        <v>320</v>
      </c>
      <c r="L1" s="2" t="s">
        <v>328</v>
      </c>
    </row>
    <row r="2" spans="1:12">
      <c r="A2" s="1" t="str">
        <f>VLOOKUP(B2,[1]SkillName!$A:$B,2,FALSE)</f>
        <v>無効</v>
      </c>
      <c r="B2">
        <v>0</v>
      </c>
      <c r="C2" t="s">
        <v>340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354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340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355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340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陶芸投げ</v>
      </c>
      <c r="B7">
        <v>5</v>
      </c>
      <c r="C7" t="s">
        <v>340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340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337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340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雪降らし</v>
      </c>
      <c r="B11">
        <v>9</v>
      </c>
      <c r="C11" t="s">
        <v>338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新幹線</v>
      </c>
      <c r="B12">
        <v>10</v>
      </c>
      <c r="C12" t="s">
        <v>340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339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340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いたずら</v>
      </c>
      <c r="B15">
        <v>13</v>
      </c>
      <c r="C15" t="s">
        <v>341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340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342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340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343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340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水禍</v>
      </c>
      <c r="B21">
        <v>19</v>
      </c>
      <c r="C21" t="s">
        <v>356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龍の息吹</v>
      </c>
      <c r="B22">
        <v>20</v>
      </c>
      <c r="C22" t="s">
        <v>353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特攻</v>
      </c>
      <c r="B23">
        <v>21</v>
      </c>
      <c r="C23" t="s">
        <v>344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5回斬り</v>
      </c>
      <c r="B24">
        <v>22</v>
      </c>
      <c r="C24" t="s">
        <v>345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回復</v>
      </c>
      <c r="B25">
        <v>23</v>
      </c>
      <c r="C25" t="s">
        <v>346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バフ</v>
      </c>
      <c r="B26">
        <v>24</v>
      </c>
      <c r="C26" t="s">
        <v>347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ソバフ</v>
      </c>
      <c r="B27">
        <v>25</v>
      </c>
      <c r="C27" t="s">
        <v>348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349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フォレストカース</v>
      </c>
      <c r="B29">
        <v>27</v>
      </c>
      <c r="C29" t="s">
        <v>350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森の木漏れ日</v>
      </c>
      <c r="B30">
        <v>28</v>
      </c>
      <c r="C30" t="s">
        <v>351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覇玖呂</v>
      </c>
      <c r="B31">
        <v>29</v>
      </c>
      <c r="C31" t="s">
        <v>333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白い被り物の幻想</v>
      </c>
      <c r="B32">
        <v>30</v>
      </c>
      <c r="C32" t="s">
        <v>334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書物の召喚</v>
      </c>
      <c r="B33">
        <v>31</v>
      </c>
      <c r="C33" t="s">
        <v>333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崩壊</v>
      </c>
      <c r="B34">
        <v>32</v>
      </c>
      <c r="C34" t="s">
        <v>334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スカルダスト</v>
      </c>
      <c r="B35">
        <v>33</v>
      </c>
      <c r="C35" t="s">
        <v>333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骨の盾</v>
      </c>
      <c r="B36">
        <v>34</v>
      </c>
      <c r="C36" t="s">
        <v>334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デンプン吸収ビーム</v>
      </c>
      <c r="B37">
        <v>35</v>
      </c>
      <c r="C37" t="s">
        <v>333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エクスプロージョンポテト</v>
      </c>
      <c r="B38">
        <v>36</v>
      </c>
      <c r="C38" t="s">
        <v>334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 t="str">
        <f>VLOOKUP(B39,[1]SkillName!$A:$B,2,FALSE)</f>
        <v>ジャベリンキャキャロット</v>
      </c>
      <c r="B39">
        <v>37</v>
      </c>
      <c r="C39" t="s">
        <v>333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 t="str">
        <f>VLOOKUP(B40,[1]SkillName!$A:$B,2,FALSE)</f>
        <v>キャロティースキル2</v>
      </c>
      <c r="B40">
        <v>38</v>
      </c>
      <c r="C40" t="s">
        <v>334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 t="str">
        <f>VLOOKUP(B41,[1]SkillName!$A:$B,2,FALSE)</f>
        <v>オニオンラッシュ</v>
      </c>
      <c r="B41">
        <v>39</v>
      </c>
      <c r="C41" t="s">
        <v>333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 t="str">
        <f>VLOOKUP(B42,[1]SkillName!$A:$B,2,FALSE)</f>
        <v>リトルオニオンズスキル2</v>
      </c>
      <c r="B42">
        <v>40</v>
      </c>
      <c r="C42" t="s">
        <v>334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 t="str">
        <f>VLOOKUP(B43,[1]SkillName!$A:$B,2,FALSE)</f>
        <v>トマト爆弾</v>
      </c>
      <c r="B43">
        <v>41</v>
      </c>
      <c r="C43" t="s">
        <v>352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 t="str">
        <f>VLOOKUP(B44,[1]SkillName!$A:$B,2,FALSE)</f>
        <v>野菜呼び</v>
      </c>
      <c r="B44">
        <v>42</v>
      </c>
      <c r="C44" t="s">
        <v>43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 t="str">
        <f>VLOOKUP(B45,[1]SkillName!$A:$B,2,FALSE)</f>
        <v>骨飛ばし</v>
      </c>
      <c r="B45">
        <v>43</v>
      </c>
      <c r="C45" t="s">
        <v>44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 t="str">
        <f>VLOOKUP(B46,[1]SkillName!$A:$B,2,FALSE)</f>
        <v>骨の盾</v>
      </c>
      <c r="B46">
        <v>44</v>
      </c>
      <c r="C46" t="s">
        <v>45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 t="str">
        <f>VLOOKUP(B47,[1]SkillName!$A:$B,2,FALSE)</f>
        <v>スカルブラスト</v>
      </c>
      <c r="B47">
        <v>45</v>
      </c>
      <c r="C47" t="s">
        <v>46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 t="str">
        <f>VLOOKUP(B48,[1]SkillName!$A:$B,2,FALSE)</f>
        <v>ベジタブルヒール</v>
      </c>
      <c r="B48">
        <v>46</v>
      </c>
      <c r="C48" t="s">
        <v>47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 t="str">
        <f>VLOOKUP(B49,[1]SkillName!$A:$B,2,FALSE)</f>
        <v>年明けのラジオ体操</v>
      </c>
      <c r="B49">
        <v>47</v>
      </c>
      <c r="C49" t="s">
        <v>48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 t="str">
        <f>VLOOKUP(B50,[1]SkillName!$A:$B,2,FALSE)</f>
        <v>奉賀ヨガファイト</v>
      </c>
      <c r="B50">
        <v>48</v>
      </c>
      <c r="C50" t="s">
        <v>49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 t="str">
        <f>VLOOKUP(B51,[1]SkillName!$A:$B,2,FALSE)</f>
        <v>２月キャラスキル１</v>
      </c>
      <c r="B51">
        <v>49</v>
      </c>
      <c r="C51" t="s">
        <v>50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 t="str">
        <f>VLOOKUP(B52,[1]SkillName!$A:$B,2,FALSE)</f>
        <v>２月キャラスキル２</v>
      </c>
      <c r="B52">
        <v>50</v>
      </c>
      <c r="C52" t="s">
        <v>51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 t="str">
        <f>VLOOKUP(B53,[1]SkillName!$A:$B,2,FALSE)</f>
        <v>甘い思い出</v>
      </c>
      <c r="B53">
        <v>51</v>
      </c>
      <c r="C53" t="s">
        <v>52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 t="str">
        <f>VLOOKUP(B54,[1]SkillName!$A:$B,2,FALSE)</f>
        <v>後悔の苦味</v>
      </c>
      <c r="B54">
        <v>52</v>
      </c>
      <c r="C54" t="s">
        <v>53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 t="str">
        <f>VLOOKUP(B55,[1]SkillName!$A:$B,2,FALSE)</f>
        <v>桜吹雪</v>
      </c>
      <c r="B55">
        <v>53</v>
      </c>
      <c r="C55" t="s">
        <v>397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 t="str">
        <f>VLOOKUP(B56,[1]SkillName!$A:$B,2,FALSE)</f>
        <v>ブロッサムシールド</v>
      </c>
      <c r="B56">
        <v>54</v>
      </c>
      <c r="C56" t="s">
        <v>398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 t="str">
        <f>VLOOKUP(B57,[1]SkillName!$A:$B,2,FALSE)</f>
        <v>新春爪撃</v>
      </c>
      <c r="B57">
        <v>55</v>
      </c>
      <c r="C57" t="s">
        <v>380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 t="str">
        <f>VLOOKUP(B58,[1]SkillName!$A:$B,2,FALSE)</f>
        <v>鋭牙突き</v>
      </c>
      <c r="B58">
        <v>56</v>
      </c>
      <c r="C58" t="s">
        <v>381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 t="str">
        <f>VLOOKUP(B59,[1]SkillName!$A:$B,2,FALSE)</f>
        <v>もちもちシャワー</v>
      </c>
      <c r="B59">
        <v>57</v>
      </c>
      <c r="C59" t="s">
        <v>58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 t="str">
        <f>VLOOKUP(B60,[1]SkillName!$A:$B,2,FALSE)</f>
        <v>１月ザコ１スキル２</v>
      </c>
      <c r="B60">
        <v>58</v>
      </c>
      <c r="C60" t="s">
        <v>59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 t="str">
        <f>VLOOKUP(B61,[1]SkillName!$A:$B,2,FALSE)</f>
        <v>１月ザコ２スキル１</v>
      </c>
      <c r="B61">
        <v>59</v>
      </c>
      <c r="C61" t="s">
        <v>60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 t="str">
        <f>VLOOKUP(B62,[1]SkillName!$A:$B,2,FALSE)</f>
        <v>１月ザコ２スキル２</v>
      </c>
      <c r="B62">
        <v>60</v>
      </c>
      <c r="C62" t="s">
        <v>61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 t="str">
        <f>VLOOKUP(B63,[1]SkillName!$A:$B,2,FALSE)</f>
        <v>１月ザコ３スキル１</v>
      </c>
      <c r="B63">
        <v>61</v>
      </c>
      <c r="C63" t="s">
        <v>62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 t="str">
        <f>VLOOKUP(B64,[1]SkillName!$A:$B,2,FALSE)</f>
        <v>１月ザコ３スキル２</v>
      </c>
      <c r="B64">
        <v>62</v>
      </c>
      <c r="C64" t="s">
        <v>63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 t="str">
        <f>VLOOKUP(B65,[1]SkillName!$A:$B,2,FALSE)</f>
        <v>ハートパンチ</v>
      </c>
      <c r="B65">
        <v>63</v>
      </c>
      <c r="C65" t="s">
        <v>382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 t="str">
        <f>VLOOKUP(B66,[1]SkillName!$A:$B,2,FALSE)</f>
        <v>２月ボススキル２</v>
      </c>
      <c r="B66">
        <v>64</v>
      </c>
      <c r="C66" t="s">
        <v>65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 t="str">
        <f>VLOOKUP(B67,[1]SkillName!$A:$B,2,FALSE)</f>
        <v>ラブストライク</v>
      </c>
      <c r="B67">
        <v>65</v>
      </c>
      <c r="C67" t="s">
        <v>383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 t="str">
        <f>VLOOKUP(B68,[1]SkillName!$A:$B,2,FALSE)</f>
        <v>キュートガード</v>
      </c>
      <c r="B68">
        <v>66</v>
      </c>
      <c r="C68" t="s">
        <v>67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 t="str">
        <f>VLOOKUP(B69,[1]SkillName!$A:$B,2,FALSE)</f>
        <v>緑の誘惑</v>
      </c>
      <c r="B69">
        <v>67</v>
      </c>
      <c r="C69" t="s">
        <v>384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 t="str">
        <f>VLOOKUP(B70,[1]SkillName!$A:$B,2,FALSE)</f>
        <v>深緑の螺旋</v>
      </c>
      <c r="B70">
        <v>68</v>
      </c>
      <c r="C70" t="s">
        <v>69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 t="str">
        <f>VLOOKUP(B71,[1]SkillName!$A:$B,2,FALSE)</f>
        <v>２月ザコ３スキル１</v>
      </c>
      <c r="B71">
        <v>69</v>
      </c>
      <c r="C71" t="s">
        <v>70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 t="str">
        <f>VLOOKUP(B72,[1]SkillName!$A:$B,2,FALSE)</f>
        <v>２月ザコ３スキル２</v>
      </c>
      <c r="B72">
        <v>70</v>
      </c>
      <c r="C72" t="s">
        <v>71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 t="str">
        <f>VLOOKUP(B73,[1]SkillName!$A:$B,2,FALSE)</f>
        <v>スイートドレイン</v>
      </c>
      <c r="B73">
        <v>71</v>
      </c>
      <c r="C73" t="s">
        <v>387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 t="str">
        <f>VLOOKUP(B74,[1]SkillName!$A:$B,2,FALSE)</f>
        <v>スイートストライク</v>
      </c>
      <c r="B74">
        <v>72</v>
      </c>
      <c r="C74" t="s">
        <v>388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 t="str">
        <f>VLOOKUP(B75,[1]SkillName!$A:$B,2,FALSE)</f>
        <v>開眼</v>
      </c>
      <c r="B75">
        <v>73</v>
      </c>
      <c r="C75" t="s">
        <v>385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 t="str">
        <f>VLOOKUP(B76,[1]SkillName!$A:$B,2,FALSE)</f>
        <v>アイビーム</v>
      </c>
      <c r="B76">
        <v>74</v>
      </c>
      <c r="C76" t="s">
        <v>386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 t="str">
        <f>VLOOKUP(B77,[1]SkillName!$A:$B,2,FALSE)</f>
        <v>キャンディクローザー</v>
      </c>
      <c r="B77">
        <v>75</v>
      </c>
      <c r="C77" t="s">
        <v>76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 t="str">
        <f>VLOOKUP(B78,[1]SkillName!$A:$B,2,FALSE)</f>
        <v>ベアスモーク</v>
      </c>
      <c r="B78">
        <v>76</v>
      </c>
      <c r="C78" t="s">
        <v>77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 t="str">
        <f>VLOOKUP(B79,[1]SkillName!$A:$B,2,FALSE)</f>
        <v>３月ザコ３スキル１</v>
      </c>
      <c r="B79">
        <v>77</v>
      </c>
      <c r="C79" t="s">
        <v>78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 t="str">
        <f>VLOOKUP(B80,[1]SkillName!$A:$B,2,FALSE)</f>
        <v>３月ザコ３スキル２</v>
      </c>
      <c r="B80">
        <v>78</v>
      </c>
      <c r="C80" t="s">
        <v>79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 t="str">
        <f>VLOOKUP(B81,[1]SkillName!$A:$B,2,FALSE)</f>
        <v>桜吹雪</v>
      </c>
      <c r="B81">
        <v>79</v>
      </c>
      <c r="C81" t="s">
        <v>395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 t="str">
        <f>VLOOKUP(B82,[1]SkillName!$A:$B,2,FALSE)</f>
        <v>邪王の根滅</v>
      </c>
      <c r="B82">
        <v>80</v>
      </c>
      <c r="C82" t="s">
        <v>396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 t="str">
        <f>VLOOKUP(B83,[1]SkillName!$A:$B,2,FALSE)</f>
        <v xml:space="preserve">プラスチックウィップ    </v>
      </c>
      <c r="B83">
        <v>81</v>
      </c>
      <c r="C83" t="s">
        <v>391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 t="str">
        <f>VLOOKUP(B84,[1]SkillName!$A:$B,2,FALSE)</f>
        <v xml:space="preserve">リサイクルリジェネレーション    </v>
      </c>
      <c r="B84">
        <v>82</v>
      </c>
      <c r="C84" t="s">
        <v>392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 t="str">
        <f>VLOOKUP(B85,[1]SkillName!$A:$B,2,FALSE)</f>
        <v>酔拳</v>
      </c>
      <c r="B85">
        <v>83</v>
      </c>
      <c r="C85" t="s">
        <v>393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 t="str">
        <f>VLOOKUP(B86,[1]SkillName!$A:$B,2,FALSE)</f>
        <v>アルコールショット</v>
      </c>
      <c r="B86">
        <v>84</v>
      </c>
      <c r="C86" t="s">
        <v>394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 t="str">
        <f>VLOOKUP(B87,[1]SkillName!$A:$B,2,FALSE)</f>
        <v xml:space="preserve">まき散らす   </v>
      </c>
      <c r="B87">
        <v>85</v>
      </c>
      <c r="C87" t="s">
        <v>389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 t="str">
        <f>VLOOKUP(B88,[1]SkillName!$A:$B,2,FALSE)</f>
        <v xml:space="preserve"> 噛みつく</v>
      </c>
      <c r="B88">
        <v>86</v>
      </c>
      <c r="C88" t="s">
        <v>390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88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89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90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91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92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93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94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95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96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97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98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99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100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101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102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103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104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105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106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107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108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109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110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111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112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113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114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115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116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117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118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119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120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121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122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123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124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125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126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127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128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129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130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131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132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133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134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135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136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137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138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139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140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141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142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143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144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145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146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147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148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149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150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151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152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153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154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155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156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157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158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159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160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161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162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163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164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165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166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167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168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169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170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171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172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173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174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175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176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177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178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179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180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181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182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183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184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185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186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187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188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189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190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191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192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193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194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195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196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197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198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199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200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304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305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306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307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308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201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202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203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204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205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206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207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208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209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210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211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212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213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214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215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216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217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218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219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220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221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222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223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224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225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226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227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228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229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230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231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232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233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234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235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236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237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238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239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240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241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242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243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244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245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246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247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248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249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250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251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252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253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254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255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256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257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258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259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260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261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262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263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264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265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266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267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268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269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270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271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272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273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274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275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276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277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278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279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280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281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282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283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284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285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286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287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288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289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290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291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292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293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294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295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296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D6F51-6497-4EA2-B1A8-1AF9EDE0DF25}">
  <sheetPr codeName="Sheet4"/>
  <dimension ref="A1:D8"/>
  <sheetViews>
    <sheetView tabSelected="1" workbookViewId="0">
      <selection activeCell="C3" sqref="C3"/>
    </sheetView>
  </sheetViews>
  <sheetFormatPr defaultRowHeight="18.75"/>
  <cols>
    <col min="2" max="3" width="35.625" customWidth="1"/>
    <col min="4" max="4" width="15.75" customWidth="1"/>
  </cols>
  <sheetData>
    <row r="1" spans="1:4">
      <c r="A1" t="s">
        <v>0</v>
      </c>
      <c r="B1" t="s">
        <v>309</v>
      </c>
      <c r="C1" t="s">
        <v>413</v>
      </c>
      <c r="D1" t="s">
        <v>399</v>
      </c>
    </row>
    <row r="2" spans="1:4">
      <c r="A2">
        <v>0</v>
      </c>
      <c r="B2" t="s">
        <v>379</v>
      </c>
      <c r="C2">
        <v>0</v>
      </c>
      <c r="D2" t="s">
        <v>400</v>
      </c>
    </row>
    <row r="3" spans="1:4">
      <c r="A3">
        <v>1</v>
      </c>
      <c r="B3" t="s">
        <v>401</v>
      </c>
      <c r="C3">
        <v>0</v>
      </c>
      <c r="D3" t="s">
        <v>407</v>
      </c>
    </row>
    <row r="4" spans="1:4">
      <c r="A4">
        <v>2</v>
      </c>
      <c r="B4" t="s">
        <v>402</v>
      </c>
      <c r="C4">
        <v>0</v>
      </c>
      <c r="D4" t="s">
        <v>408</v>
      </c>
    </row>
    <row r="5" spans="1:4">
      <c r="A5">
        <v>3</v>
      </c>
      <c r="B5" t="s">
        <v>403</v>
      </c>
      <c r="C5">
        <v>0</v>
      </c>
      <c r="D5" t="s">
        <v>409</v>
      </c>
    </row>
    <row r="6" spans="1:4">
      <c r="A6">
        <v>4</v>
      </c>
      <c r="B6" t="s">
        <v>404</v>
      </c>
      <c r="C6">
        <v>0</v>
      </c>
      <c r="D6" t="s">
        <v>410</v>
      </c>
    </row>
    <row r="7" spans="1:4">
      <c r="A7">
        <v>5</v>
      </c>
      <c r="B7" t="s">
        <v>405</v>
      </c>
      <c r="C7">
        <v>0</v>
      </c>
      <c r="D7" t="s">
        <v>412</v>
      </c>
    </row>
    <row r="8" spans="1:4">
      <c r="A8">
        <v>6</v>
      </c>
      <c r="B8" t="s">
        <v>406</v>
      </c>
      <c r="C8">
        <v>0</v>
      </c>
      <c r="D8" t="s">
        <v>411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311</v>
      </c>
      <c r="C1" t="s">
        <v>315</v>
      </c>
      <c r="D1" t="s">
        <v>319</v>
      </c>
    </row>
    <row r="2" spans="1:4">
      <c r="A2">
        <v>0</v>
      </c>
      <c r="B2" t="s">
        <v>316</v>
      </c>
      <c r="C2" t="s">
        <v>314</v>
      </c>
      <c r="D2" t="s">
        <v>321</v>
      </c>
    </row>
    <row r="3" spans="1:4">
      <c r="A3">
        <v>1</v>
      </c>
      <c r="B3" t="s">
        <v>317</v>
      </c>
      <c r="C3" t="s">
        <v>313</v>
      </c>
      <c r="D3" t="s">
        <v>322</v>
      </c>
    </row>
    <row r="4" spans="1:4">
      <c r="A4">
        <v>2</v>
      </c>
      <c r="B4" t="s">
        <v>329</v>
      </c>
      <c r="C4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CharaFixData</vt:lpstr>
      <vt:lpstr>SkillFixData</vt:lpstr>
      <vt:lpstr>BackGroundFixData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崚介（自宅用） 桑原</cp:lastModifiedBy>
  <dcterms:created xsi:type="dcterms:W3CDTF">2015-06-05T18:19:34Z</dcterms:created>
  <dcterms:modified xsi:type="dcterms:W3CDTF">2024-01-07T16:48:36Z</dcterms:modified>
</cp:coreProperties>
</file>