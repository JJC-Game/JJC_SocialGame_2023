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2128ED2B-E130-4DD4-8F90-D51C0B37766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2" i="1"/>
</calcChain>
</file>

<file path=xl/sharedStrings.xml><?xml version="1.0" encoding="utf-8"?>
<sst xmlns="http://schemas.openxmlformats.org/spreadsheetml/2006/main" count="11" uniqueCount="11">
  <si>
    <t>話者ID</t>
    <rPh sb="0" eb="2">
      <t>ワシャ</t>
    </rPh>
    <phoneticPr fontId="1"/>
  </si>
  <si>
    <t>セリフ</t>
    <phoneticPr fontId="1"/>
  </si>
  <si>
    <t>おいらも楽しみにしてるぜ！波奈さん、へぎそばが好きなんだな。それじゃあ、おいらも食べてみたいな。</t>
  </si>
  <si>
    <t>ぜひ食べてみてください。おいしいですよ。</t>
    <rPh sb="2" eb="3">
      <t>タ</t>
    </rPh>
    <phoneticPr fontId="1"/>
  </si>
  <si>
    <t>ところで、へぎそばって何なんだ？</t>
    <rPh sb="11" eb="12">
      <t>ナン</t>
    </rPh>
    <phoneticPr fontId="1"/>
  </si>
  <si>
    <t>へぎそばはこの地域の特産物で、私たちの家族は蕎麦屋を営んでいるんです。布海苔というものを使っていて、少し緑がかっているのが特徴なんですよ。</t>
    <rPh sb="44" eb="45">
      <t>ツカ</t>
    </rPh>
    <rPh sb="50" eb="51">
      <t>スコ</t>
    </rPh>
    <rPh sb="52" eb="53">
      <t>ミドリ</t>
    </rPh>
    <rPh sb="61" eb="63">
      <t>トクチョウ</t>
    </rPh>
    <phoneticPr fontId="1"/>
  </si>
  <si>
    <t>それじゃあ私が作りましょうか？</t>
    <rPh sb="5" eb="6">
      <t>ワタシ</t>
    </rPh>
    <rPh sb="7" eb="8">
      <t>ツク</t>
    </rPh>
    <phoneticPr fontId="1"/>
  </si>
  <si>
    <t>へえ、そうなのか。なんだか話を聞いていたら食べたくなってきたな。</t>
    <rPh sb="13" eb="14">
      <t>ハナシ</t>
    </rPh>
    <rPh sb="15" eb="16">
      <t>キ</t>
    </rPh>
    <phoneticPr fontId="1"/>
  </si>
  <si>
    <t>それはとてもうれしいよ。お言葉に甘えてもいいかい？</t>
    <rPh sb="13" eb="15">
      <t>コトバ</t>
    </rPh>
    <rPh sb="16" eb="17">
      <t>アマ</t>
    </rPh>
    <phoneticPr fontId="1"/>
  </si>
  <si>
    <t>ええ、大丈夫ですよ。{BR}上杉さん、これからよろしくお願いしますね。</t>
    <rPh sb="3" eb="6">
      <t>ダイジョウブ</t>
    </rPh>
    <rPh sb="14" eb="16">
      <t>ウエスギ</t>
    </rPh>
    <rPh sb="28" eb="29">
      <t>ネガ</t>
    </rPh>
    <phoneticPr fontId="1"/>
  </si>
  <si>
    <t>こんにちは、上杉さん。一緒に旅をするのを楽しみにしています。へぎそばを提供することはもちろん、どんな冒険でもお手伝いできるように頑張ります。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</si>
</sst>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  <sheetName val="Scenario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0"/>
  <sheetViews>
    <sheetView tabSelected="1" workbookViewId="0">
      <selection activeCell="H5" sqref="H5"/>
    </sheetView>
  </sheetViews>
  <sheetFormatPr defaultRowHeight="18"/>
  <cols>
    <col min="2" max="2" width="10.3984375" style="1" bestFit="1" customWidth="1"/>
  </cols>
  <sheetData>
    <row r="1" spans="1:3">
      <c r="A1" t="s">
        <v>0</v>
      </c>
      <c r="C1" t="s">
        <v>1</v>
      </c>
    </row>
    <row r="2" spans="1:3">
      <c r="A2">
        <v>13</v>
      </c>
      <c r="B2" s="1" t="str">
        <f>VLOOKUP(A2,[1]CharaName!$A:$B,2,FALSE)</f>
        <v>小嶋　波奈</v>
      </c>
      <c r="C2" t="s">
        <v>10</v>
      </c>
    </row>
    <row r="3" spans="1:3">
      <c r="A3">
        <v>300</v>
      </c>
      <c r="B3" s="1" t="str">
        <f>VLOOKUP(A3,[1]CharaName!$A:$B,2,FALSE)</f>
        <v>上杉　摩謙勇</v>
      </c>
      <c r="C3" t="s">
        <v>2</v>
      </c>
    </row>
    <row r="4" spans="1:3">
      <c r="A4">
        <v>13</v>
      </c>
      <c r="B4" s="1" t="str">
        <f>VLOOKUP(A4,[1]CharaName!$A:$B,2,FALSE)</f>
        <v>小嶋　波奈</v>
      </c>
      <c r="C4" t="s">
        <v>3</v>
      </c>
    </row>
    <row r="5" spans="1:3">
      <c r="A5">
        <v>300</v>
      </c>
      <c r="B5" s="1" t="str">
        <f>VLOOKUP(A5,[1]CharaName!$A:$B,2,FALSE)</f>
        <v>上杉　摩謙勇</v>
      </c>
      <c r="C5" t="s">
        <v>4</v>
      </c>
    </row>
    <row r="6" spans="1:3">
      <c r="A6">
        <v>13</v>
      </c>
      <c r="B6" s="1" t="str">
        <f>VLOOKUP(A6,[1]CharaName!$A:$B,2,FALSE)</f>
        <v>小嶋　波奈</v>
      </c>
      <c r="C6" t="s">
        <v>5</v>
      </c>
    </row>
    <row r="7" spans="1:3">
      <c r="A7">
        <v>300</v>
      </c>
      <c r="B7" s="1" t="str">
        <f>VLOOKUP(A7,[1]CharaName!$A:$B,2,FALSE)</f>
        <v>上杉　摩謙勇</v>
      </c>
      <c r="C7" t="s">
        <v>7</v>
      </c>
    </row>
    <row r="8" spans="1:3">
      <c r="A8">
        <v>13</v>
      </c>
      <c r="B8" s="1" t="str">
        <f>VLOOKUP(A8,[1]CharaName!$A:$B,2,FALSE)</f>
        <v>小嶋　波奈</v>
      </c>
      <c r="C8" t="s">
        <v>6</v>
      </c>
    </row>
    <row r="9" spans="1:3">
      <c r="A9">
        <v>300</v>
      </c>
      <c r="B9" s="1" t="str">
        <f>VLOOKUP(A9,[1]CharaName!$A:$B,2,FALSE)</f>
        <v>上杉　摩謙勇</v>
      </c>
      <c r="C9" t="s">
        <v>8</v>
      </c>
    </row>
    <row r="10" spans="1:3">
      <c r="A10">
        <v>13</v>
      </c>
      <c r="B10" s="1" t="str">
        <f>VLOOKUP(A10,[1]CharaName!$A:$B,2,FALSE)</f>
        <v>小嶋　波奈</v>
      </c>
      <c r="C10" t="s">
        <v>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野口 栄吉(jjc.22170028)</cp:lastModifiedBy>
  <dcterms:created xsi:type="dcterms:W3CDTF">2015-06-05T18:19:34Z</dcterms:created>
  <dcterms:modified xsi:type="dcterms:W3CDTF">2023-10-26T02:48:33Z</dcterms:modified>
</cp:coreProperties>
</file>